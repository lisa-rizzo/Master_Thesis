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d.docs.live.net/8d5a558ea112ac8d/Master/Master LMU/Masterarbeit/TUM AI in Medicine/Excel/"/>
    </mc:Choice>
  </mc:AlternateContent>
  <xr:revisionPtr revIDLastSave="18" documentId="13_ncr:1_{2329F05C-3493-4DF4-825D-E992FB5E654D}" xr6:coauthVersionLast="47" xr6:coauthVersionMax="47" xr10:uidLastSave="{EF7F5159-D567-394F-8C87-F7A6D4821CC6}"/>
  <bookViews>
    <workbookView minimized="1" xWindow="-120" yWindow="700" windowWidth="33620" windowHeight="19980" tabRatio="500" xr2:uid="{00000000-000D-0000-FFFF-FFFF00000000}"/>
  </bookViews>
  <sheets>
    <sheet name="Sheet1" sheetId="1" r:id="rId1"/>
    <sheet name="Statistics" sheetId="2" r:id="rId2"/>
  </sheets>
  <definedNames>
    <definedName name="_xlnm._FilterDatabase" localSheetId="0" hidden="1">Sheet1!$A$1:$O$198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2" l="1"/>
  <c r="D18" i="2"/>
  <c r="D11" i="2"/>
  <c r="D10" i="2"/>
  <c r="O9" i="2"/>
  <c r="N9" i="2"/>
  <c r="M9" i="2"/>
  <c r="L9" i="2"/>
  <c r="K9" i="2"/>
  <c r="J9" i="2"/>
  <c r="I9" i="2"/>
  <c r="H9" i="2"/>
  <c r="G9" i="2"/>
  <c r="F9" i="2"/>
  <c r="E9" i="2"/>
  <c r="E17" i="2" s="1"/>
  <c r="D9" i="2"/>
  <c r="C9" i="2"/>
  <c r="O8" i="2"/>
  <c r="N8" i="2"/>
  <c r="M8" i="2"/>
  <c r="L8" i="2"/>
  <c r="K8" i="2"/>
  <c r="J8" i="2"/>
  <c r="I8" i="2"/>
  <c r="H8" i="2"/>
  <c r="G8" i="2"/>
  <c r="G16" i="2" s="1"/>
  <c r="F8" i="2"/>
  <c r="F16" i="2" s="1"/>
  <c r="O7" i="2"/>
  <c r="N7" i="2"/>
  <c r="M7" i="2"/>
  <c r="L7" i="2"/>
  <c r="K7" i="2"/>
  <c r="J7" i="2"/>
  <c r="I7" i="2"/>
  <c r="I15" i="2" s="1"/>
  <c r="H7" i="2"/>
  <c r="H15" i="2" s="1"/>
  <c r="G7" i="2"/>
  <c r="F7" i="2"/>
  <c r="E7" i="2"/>
  <c r="D7" i="2"/>
  <c r="C7" i="2"/>
  <c r="O6" i="2"/>
  <c r="N6" i="2"/>
  <c r="M6" i="2"/>
  <c r="L6" i="2"/>
  <c r="K6" i="2"/>
  <c r="K14" i="2" s="1"/>
  <c r="D14" i="2" s="1"/>
  <c r="J6" i="2"/>
  <c r="J14" i="2" s="1"/>
  <c r="I6" i="2"/>
  <c r="H6" i="2"/>
  <c r="G6" i="2"/>
  <c r="F6" i="2"/>
  <c r="E6" i="2"/>
  <c r="D6" i="2"/>
  <c r="C6" i="2"/>
  <c r="B3" i="2"/>
  <c r="O2" i="2"/>
  <c r="N2" i="2"/>
  <c r="M2" i="2"/>
  <c r="L2" i="2"/>
  <c r="K2" i="2"/>
  <c r="J2" i="2"/>
  <c r="I2" i="2"/>
  <c r="H2" i="2"/>
  <c r="G2" i="2"/>
  <c r="F2" i="2"/>
  <c r="E2" i="2"/>
  <c r="D2" i="2"/>
  <c r="C2" i="2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7" i="1"/>
  <c r="E187" i="1"/>
  <c r="I186" i="1"/>
  <c r="E186" i="1"/>
  <c r="I185" i="1"/>
  <c r="E185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I176" i="1"/>
  <c r="E176" i="1"/>
  <c r="I175" i="1"/>
  <c r="E175" i="1"/>
  <c r="I174" i="1"/>
  <c r="E174" i="1"/>
  <c r="I173" i="1"/>
  <c r="E173" i="1"/>
  <c r="I172" i="1"/>
  <c r="E172" i="1"/>
  <c r="I171" i="1"/>
  <c r="E171" i="1"/>
  <c r="I170" i="1"/>
  <c r="E170" i="1"/>
  <c r="I169" i="1"/>
  <c r="E169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4" i="1"/>
  <c r="E144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I133" i="1"/>
  <c r="E133" i="1"/>
  <c r="I132" i="1"/>
  <c r="E132" i="1"/>
  <c r="I131" i="1"/>
  <c r="E131" i="1"/>
  <c r="I130" i="1"/>
  <c r="E130" i="1"/>
  <c r="I129" i="1"/>
  <c r="E129" i="1"/>
  <c r="I128" i="1"/>
  <c r="E128" i="1"/>
  <c r="I127" i="1"/>
  <c r="E127" i="1"/>
  <c r="I126" i="1"/>
  <c r="E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1" i="1"/>
  <c r="E101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I90" i="1"/>
  <c r="E90" i="1"/>
  <c r="I89" i="1"/>
  <c r="E89" i="1"/>
  <c r="I88" i="1"/>
  <c r="E88" i="1"/>
  <c r="I87" i="1"/>
  <c r="E87" i="1"/>
  <c r="I86" i="1"/>
  <c r="E86" i="1"/>
  <c r="I85" i="1"/>
  <c r="E85" i="1"/>
  <c r="I84" i="1"/>
  <c r="E84" i="1"/>
  <c r="I83" i="1"/>
  <c r="E83" i="1"/>
  <c r="I82" i="1"/>
  <c r="E82" i="1"/>
  <c r="I81" i="1"/>
  <c r="E81" i="1"/>
  <c r="I80" i="1"/>
  <c r="E80" i="1"/>
  <c r="I79" i="1"/>
  <c r="E79" i="1"/>
  <c r="I78" i="1"/>
  <c r="E78" i="1"/>
  <c r="I77" i="1"/>
  <c r="E77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61" i="1"/>
  <c r="E61" i="1"/>
  <c r="I60" i="1"/>
  <c r="E60" i="1"/>
  <c r="I59" i="1"/>
  <c r="E59" i="1"/>
  <c r="I58" i="1"/>
  <c r="E58" i="1"/>
  <c r="I57" i="1"/>
  <c r="E57" i="1"/>
  <c r="I56" i="1"/>
  <c r="E56" i="1"/>
  <c r="I55" i="1"/>
  <c r="E55" i="1"/>
  <c r="I54" i="1"/>
  <c r="E54" i="1"/>
  <c r="I53" i="1"/>
  <c r="E53" i="1"/>
  <c r="I52" i="1"/>
  <c r="E52" i="1"/>
  <c r="I51" i="1"/>
  <c r="E51" i="1"/>
  <c r="I50" i="1"/>
  <c r="E50" i="1"/>
  <c r="I49" i="1"/>
  <c r="E49" i="1"/>
  <c r="I48" i="1"/>
  <c r="E48" i="1"/>
  <c r="I47" i="1"/>
  <c r="E47" i="1"/>
  <c r="I46" i="1"/>
  <c r="E46" i="1"/>
  <c r="I45" i="1"/>
  <c r="E45" i="1"/>
  <c r="I44" i="1"/>
  <c r="E44" i="1"/>
  <c r="I43" i="1"/>
  <c r="E43" i="1"/>
  <c r="I42" i="1"/>
  <c r="E42" i="1"/>
  <c r="I41" i="1"/>
  <c r="E41" i="1"/>
  <c r="I40" i="1"/>
  <c r="E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6" i="1"/>
  <c r="E16" i="1"/>
  <c r="I15" i="1"/>
  <c r="E15" i="1"/>
  <c r="I14" i="1"/>
  <c r="E14" i="1"/>
  <c r="I13" i="1"/>
  <c r="E13" i="1"/>
  <c r="I12" i="1"/>
  <c r="E12" i="1"/>
  <c r="I11" i="1"/>
  <c r="E11" i="1"/>
  <c r="I10" i="1"/>
  <c r="E10" i="1"/>
  <c r="I9" i="1"/>
  <c r="E9" i="1"/>
  <c r="I8" i="1"/>
  <c r="E8" i="1"/>
  <c r="I7" i="1"/>
  <c r="E7" i="1"/>
  <c r="I6" i="1"/>
  <c r="E6" i="1"/>
  <c r="I5" i="1"/>
  <c r="E5" i="1"/>
  <c r="I4" i="1"/>
  <c r="E4" i="1"/>
  <c r="I3" i="1"/>
  <c r="E3" i="1"/>
  <c r="I2" i="1"/>
  <c r="E2" i="1"/>
  <c r="F22" i="2" l="1"/>
  <c r="I22" i="2"/>
  <c r="F23" i="2"/>
  <c r="B9" i="2"/>
  <c r="B17" i="2" s="1"/>
  <c r="B2" i="2"/>
  <c r="B25" i="2" s="1"/>
  <c r="K5" i="2"/>
  <c r="K13" i="2" s="1"/>
  <c r="D13" i="2" s="1"/>
  <c r="L22" i="2"/>
  <c r="L25" i="2"/>
  <c r="C5" i="2"/>
  <c r="C21" i="2" s="1"/>
  <c r="M5" i="2"/>
  <c r="M13" i="2" s="1"/>
  <c r="D5" i="2"/>
  <c r="N5" i="2"/>
  <c r="N13" i="2" s="1"/>
  <c r="O22" i="2"/>
  <c r="L24" i="2"/>
  <c r="G22" i="2"/>
  <c r="N23" i="2"/>
  <c r="N24" i="2"/>
  <c r="J25" i="2"/>
  <c r="H22" i="2"/>
  <c r="E23" i="2"/>
  <c r="O24" i="2"/>
  <c r="K25" i="2"/>
  <c r="D25" i="2" s="1"/>
  <c r="G23" i="2"/>
  <c r="C25" i="2"/>
  <c r="M25" i="2"/>
  <c r="H24" i="2"/>
  <c r="N25" i="2"/>
  <c r="K21" i="2"/>
  <c r="D21" i="2" s="1"/>
  <c r="I24" i="2"/>
  <c r="O25" i="2"/>
  <c r="J23" i="2"/>
  <c r="F25" i="2"/>
  <c r="K23" i="2"/>
  <c r="D23" i="2" s="1"/>
  <c r="K24" i="2"/>
  <c r="D24" i="2" s="1"/>
  <c r="G25" i="2"/>
  <c r="H25" i="2"/>
  <c r="M23" i="2"/>
  <c r="M24" i="2"/>
  <c r="I25" i="2"/>
  <c r="C8" i="2"/>
  <c r="C4" i="2" s="1"/>
  <c r="H5" i="2"/>
  <c r="H21" i="2" s="1"/>
  <c r="I5" i="2"/>
  <c r="I21" i="2" s="1"/>
  <c r="J5" i="2"/>
  <c r="J21" i="2" s="1"/>
  <c r="L5" i="2"/>
  <c r="L13" i="2" s="1"/>
  <c r="O5" i="2"/>
  <c r="O21" i="2" s="1"/>
  <c r="F4" i="2"/>
  <c r="F20" i="2" s="1"/>
  <c r="H4" i="2"/>
  <c r="H20" i="2" s="1"/>
  <c r="I4" i="2"/>
  <c r="I20" i="2" s="1"/>
  <c r="K4" i="2"/>
  <c r="K20" i="2" s="1"/>
  <c r="D20" i="2" s="1"/>
  <c r="D8" i="2"/>
  <c r="D4" i="2" s="1"/>
  <c r="B6" i="2"/>
  <c r="L14" i="2"/>
  <c r="J15" i="2"/>
  <c r="H16" i="2"/>
  <c r="F17" i="2"/>
  <c r="J22" i="2"/>
  <c r="H23" i="2"/>
  <c r="F24" i="2"/>
  <c r="G4" i="2"/>
  <c r="E5" i="2"/>
  <c r="M14" i="2"/>
  <c r="K15" i="2"/>
  <c r="D15" i="2" s="1"/>
  <c r="I16" i="2"/>
  <c r="G17" i="2"/>
  <c r="K22" i="2"/>
  <c r="D22" i="2" s="1"/>
  <c r="I23" i="2"/>
  <c r="G24" i="2"/>
  <c r="E25" i="2"/>
  <c r="F5" i="2"/>
  <c r="B7" i="2"/>
  <c r="N14" i="2"/>
  <c r="L15" i="2"/>
  <c r="J16" i="2"/>
  <c r="H17" i="2"/>
  <c r="G5" i="2"/>
  <c r="C14" i="2"/>
  <c r="O14" i="2"/>
  <c r="M15" i="2"/>
  <c r="K16" i="2"/>
  <c r="D16" i="2" s="1"/>
  <c r="I17" i="2"/>
  <c r="M22" i="2"/>
  <c r="J4" i="2"/>
  <c r="N15" i="2"/>
  <c r="L16" i="2"/>
  <c r="J17" i="2"/>
  <c r="N22" i="2"/>
  <c r="L23" i="2"/>
  <c r="J24" i="2"/>
  <c r="E14" i="2"/>
  <c r="C15" i="2"/>
  <c r="O15" i="2"/>
  <c r="M16" i="2"/>
  <c r="K17" i="2"/>
  <c r="D17" i="2" s="1"/>
  <c r="C22" i="2"/>
  <c r="L4" i="2"/>
  <c r="F14" i="2"/>
  <c r="N16" i="2"/>
  <c r="L17" i="2"/>
  <c r="M4" i="2"/>
  <c r="E8" i="2"/>
  <c r="G14" i="2"/>
  <c r="E15" i="2"/>
  <c r="O16" i="2"/>
  <c r="M17" i="2"/>
  <c r="E22" i="2"/>
  <c r="C23" i="2"/>
  <c r="O23" i="2"/>
  <c r="N4" i="2"/>
  <c r="H14" i="2"/>
  <c r="F15" i="2"/>
  <c r="N17" i="2"/>
  <c r="O4" i="2"/>
  <c r="I14" i="2"/>
  <c r="G15" i="2"/>
  <c r="C17" i="2"/>
  <c r="O17" i="2"/>
  <c r="O13" i="2" l="1"/>
  <c r="F12" i="2"/>
  <c r="L21" i="2"/>
  <c r="M21" i="2"/>
  <c r="C13" i="2"/>
  <c r="I13" i="2"/>
  <c r="N21" i="2"/>
  <c r="J13" i="2"/>
  <c r="H12" i="2"/>
  <c r="C24" i="2"/>
  <c r="C16" i="2"/>
  <c r="H13" i="2"/>
  <c r="I12" i="2"/>
  <c r="K12" i="2"/>
  <c r="D12" i="2" s="1"/>
  <c r="B23" i="2"/>
  <c r="B15" i="2"/>
  <c r="C12" i="2"/>
  <c r="C20" i="2"/>
  <c r="M20" i="2"/>
  <c r="M12" i="2"/>
  <c r="E24" i="2"/>
  <c r="E16" i="2"/>
  <c r="F21" i="2"/>
  <c r="F13" i="2"/>
  <c r="G21" i="2"/>
  <c r="G13" i="2"/>
  <c r="N12" i="2"/>
  <c r="N20" i="2"/>
  <c r="B22" i="2"/>
  <c r="B14" i="2"/>
  <c r="E4" i="2"/>
  <c r="B8" i="2"/>
  <c r="L20" i="2"/>
  <c r="L12" i="2"/>
  <c r="O12" i="2"/>
  <c r="O20" i="2"/>
  <c r="E21" i="2"/>
  <c r="E13" i="2"/>
  <c r="J20" i="2"/>
  <c r="J12" i="2"/>
  <c r="G20" i="2"/>
  <c r="G12" i="2"/>
  <c r="B5" i="2"/>
  <c r="E20" i="2" l="1"/>
  <c r="E12" i="2"/>
  <c r="B24" i="2"/>
  <c r="B16" i="2"/>
  <c r="B21" i="2"/>
  <c r="B13" i="2"/>
  <c r="B4" i="2"/>
  <c r="B12" i="2" l="1"/>
  <c r="B20" i="2"/>
</calcChain>
</file>

<file path=xl/sharedStrings.xml><?xml version="1.0" encoding="utf-8"?>
<sst xmlns="http://schemas.openxmlformats.org/spreadsheetml/2006/main" count="667" uniqueCount="305">
  <si>
    <t>fid</t>
  </si>
  <si>
    <t>dataset</t>
  </si>
  <si>
    <t>vert</t>
  </si>
  <si>
    <t>Duplicate</t>
  </si>
  <si>
    <t>Remove</t>
  </si>
  <si>
    <t>T11</t>
  </si>
  <si>
    <t>T13</t>
  </si>
  <si>
    <t>Sanity</t>
  </si>
  <si>
    <t>LabelOverride</t>
  </si>
  <si>
    <t>DeleteLabel</t>
  </si>
  <si>
    <t>TLTV</t>
  </si>
  <si>
    <t>SR_l</t>
  </si>
  <si>
    <t>SR_r</t>
  </si>
  <si>
    <t>HE Comment</t>
  </si>
  <si>
    <t>ATL009_dir-sag_split-WS</t>
  </si>
  <si>
    <t>dataset-ATL</t>
  </si>
  <si>
    <t>SR bds</t>
  </si>
  <si>
    <t>ATL022_dir-sag_split-WS</t>
  </si>
  <si>
    <t>Fx, Ribben sind vom drüber</t>
  </si>
  <si>
    <t>ATL035_dir-sag_split-WS</t>
  </si>
  <si>
    <t>ATL038_dir-sag_split-WS</t>
  </si>
  <si>
    <t>Keine Rippen</t>
  </si>
  <si>
    <t>ATL045_dir-sag_split-LWS</t>
  </si>
  <si>
    <t>ATL058_dir-sag_split-WS</t>
  </si>
  <si>
    <t>Type 4 → Lumbar</t>
  </si>
  <si>
    <t>ATL075_dir-sag_split-BWSLWS</t>
  </si>
  <si>
    <t>ATL109_dir-sag_split-BWSLWS</t>
  </si>
  <si>
    <t>Verwachsen mit costalis? Würde T13 + SR bds sagen</t>
  </si>
  <si>
    <t>ATL154_dir-sag_split-WS</t>
  </si>
  <si>
    <t>ATL202_dir-sag</t>
  </si>
  <si>
    <t>ATL211_dir-sag</t>
  </si>
  <si>
    <t>SR l</t>
  </si>
  <si>
    <t>ATL218_dir-sag</t>
  </si>
  <si>
    <t>ATL226_dir-sag</t>
  </si>
  <si>
    <t>ATL234_dir-sag</t>
  </si>
  <si>
    <t>ATL241_dir-sag</t>
  </si>
  <si>
    <t>ATL252_dir-sag</t>
  </si>
  <si>
    <t>SR bds, schwer zu erkennen</t>
  </si>
  <si>
    <t>ATL253_dir-sag</t>
  </si>
  <si>
    <t>ATL255_dir-sag_split-0</t>
  </si>
  <si>
    <t>Normaler T12</t>
  </si>
  <si>
    <t>ced0019_ses-20191023_sequ-202_ce-no</t>
  </si>
  <si>
    <t>dataset-ced</t>
  </si>
  <si>
    <t>ced0059_ses-20091013_sequ-4_ce-pv</t>
  </si>
  <si>
    <t>SUPER EDGE CASE unsicher</t>
  </si>
  <si>
    <t>ced0065_ses-20200303_sequ-201_ce-no</t>
  </si>
  <si>
    <t>ced0119_ses-20091112_sequ-7_ce-no</t>
  </si>
  <si>
    <t>ced0123_ses-20190108_sequ-201_ce-pv</t>
  </si>
  <si>
    <t>Kompletter segfail</t>
  </si>
  <si>
    <t>ced0153_ses-20110119_sequ-401_ce-pv</t>
  </si>
  <si>
    <t>ced0161_ses-20200720_sequ-10_ce-pv</t>
  </si>
  <si>
    <t>ced0207_ses-20160624_sequ-201_ce-no</t>
  </si>
  <si>
    <t>Metal, schwer, aber Normaler 12/5</t>
  </si>
  <si>
    <t>ced0209_ses-20130703_sequ-2_ce-no</t>
  </si>
  <si>
    <t>[9, 10, 11, 12, 13, 14, 15, 16, 17, 18, 19, 28, 20, 21, 22, 23]</t>
  </si>
  <si>
    <t>Rippen, bleibt T12</t>
  </si>
  <si>
    <t>ced0264_ses-20120919_sequ-4_ce-pv</t>
  </si>
  <si>
    <t>[6, 7, 8, 9, 10, 11, 12, 13, 14, 15, 16, 17, 18, 19, 20, 21, 22, 23]</t>
  </si>
  <si>
    <t>ced0295_ses-20200815_sequ-201_ce-no</t>
  </si>
  <si>
    <t>ced0358_ses-20171214_sequ-202_ce-no</t>
  </si>
  <si>
    <t>Keine Rippen, T11</t>
  </si>
  <si>
    <t>ced0365_ses-20120418_sequ-3_ce-no</t>
  </si>
  <si>
    <t>ced0365_ses-20200415_sequ-205_ce-no</t>
  </si>
  <si>
    <t>[8, 9, 10, 11, 12, 13, 14, 15, 16, 17, 18, 19, 28, 20, 21, 22, 23]</t>
  </si>
  <si>
    <t>ced0429_ses-20070614_sequ-4_ce-pv</t>
  </si>
  <si>
    <t>[9, 10, 11, 12, 13, 14, 15, 16, 17, 18, 19, 20, 21, 22, 23, 24]</t>
  </si>
  <si>
    <t>gl3109354</t>
  </si>
  <si>
    <t>dataset-CSILabel</t>
  </si>
  <si>
    <t>Passt</t>
  </si>
  <si>
    <t>csi013</t>
  </si>
  <si>
    <t>dataset-CSIsegment</t>
  </si>
  <si>
    <t>ctfu00088_ses-20171222_ce-no</t>
  </si>
  <si>
    <t>dataset-ctfu1org</t>
  </si>
  <si>
    <t>ctfu00222_ses-20090626_ce-pv</t>
  </si>
  <si>
    <t>ctfu00273_ses-20150210_ce-pv</t>
  </si>
  <si>
    <t>ctfu00299_ses-20070625_ce-pv</t>
  </si>
  <si>
    <t>ctfu00303_ses-20060928_ce-art</t>
  </si>
  <si>
    <t>Passt 8 start ohne T13 aber normal L4</t>
  </si>
  <si>
    <t>ctfu00369_ses-20170315_ce-pv</t>
  </si>
  <si>
    <t>ctfu00423_ses-20140225_ce-art</t>
  </si>
  <si>
    <t>ctfu00469_ses-20070904_ce-pv</t>
  </si>
  <si>
    <t>SR bds, arg abgeschnitten seitlich</t>
  </si>
  <si>
    <t>ctfu00506_ses-20070822_ce-pv</t>
  </si>
  <si>
    <t>ctfu00509_ses-20060725_ce-pv</t>
  </si>
  <si>
    <t>ctfu00531_ses-20120702_ce-art</t>
  </si>
  <si>
    <t>Type 4 -&gt; lumbar</t>
  </si>
  <si>
    <t>ctfu00538_ses-20150306_ce-pv</t>
  </si>
  <si>
    <t>ctfu00544_ses-20090310_ce-pv</t>
  </si>
  <si>
    <t>ctfu00544_ses-20140612_ce-pv</t>
  </si>
  <si>
    <t>ctfu00565_ses-20080930_ce-pv</t>
  </si>
  <si>
    <t>ctfu00568_ses-20140114_ce-pv</t>
  </si>
  <si>
    <t>ctfu00610_ses-20091111_ce-pv</t>
  </si>
  <si>
    <t>Prior T13 → Ist richtig T13</t>
  </si>
  <si>
    <t>ctfu00682_ses-20180807_ce-pv</t>
  </si>
  <si>
    <t>ctfu00709_ses-20130522_ce-pv</t>
  </si>
  <si>
    <t>ctfu00737_ses-20161011_ce-art</t>
  </si>
  <si>
    <t>ctfu00749_ses-20150319_ce-pv</t>
  </si>
  <si>
    <t>ctfu00807_ses-20131206_ce-pv</t>
  </si>
  <si>
    <t>ctfu00852_ses-20180515_ce-art</t>
  </si>
  <si>
    <t>ctfu00869_ses-20140228_ce-pv</t>
  </si>
  <si>
    <t>ctfu00953_ses-20121211_ce-no</t>
  </si>
  <si>
    <t>ctfu00953_ses-20180226_ce-no</t>
  </si>
  <si>
    <t>ctfu00958_ses-20110324_ce-pv</t>
  </si>
  <si>
    <t>ctfu00986_ses-20180326_ce-pv</t>
  </si>
  <si>
    <t>Unsicher</t>
  </si>
  <si>
    <t>ctfu01006_ses-20160915_ce-no</t>
  </si>
  <si>
    <t>Passt 8 start mit T13 und L5</t>
  </si>
  <si>
    <t>ctfu01029_ses-20100928_ce-pv</t>
  </si>
  <si>
    <t>ctfu01035_ses-20130305_ce-pv</t>
  </si>
  <si>
    <t>Passt ohne T13 und L4</t>
  </si>
  <si>
    <t>ctfu01050_ses-20130307_ce-pv</t>
  </si>
  <si>
    <t>SR r, fused, Type 4</t>
  </si>
  <si>
    <t>CTC0015_ses-20000101_seq-4pronecolon10b30f_ref-2</t>
  </si>
  <si>
    <t>dataset-CTSp1k</t>
  </si>
  <si>
    <t>CTC0050_ses-20000101_seq-6axial3dprone_ref-1</t>
  </si>
  <si>
    <t>CTC0090_ses-20000101_seq-7colonography_ref-1</t>
  </si>
  <si>
    <t>CTC0121_ses-20000101_seq-4supine2mmaxials_ref-2</t>
  </si>
  <si>
    <t>CTC0141_ses-20000101_seq-4coloprone10b30f_ref-1</t>
  </si>
  <si>
    <t>CTC0154_ses-20000101_seq-4pronecolonst10b30f_ref-2</t>
  </si>
  <si>
    <t>CTC0161_ses-20000101_seq-9coloprone10b30f_ref-1</t>
  </si>
  <si>
    <t>CTC0162_ses-20000101_seq-6coloprone10b30f_ref-1</t>
  </si>
  <si>
    <t>CTC0167_ses-20000101_seq-6coloprone10b30f_ref-2</t>
  </si>
  <si>
    <t>CTC0183_ses-20000101_seq-4colonography_ref-2</t>
  </si>
  <si>
    <t>CTC0200_ses-20000101_seq-4colonprone10b30f_ref-2</t>
  </si>
  <si>
    <t>CTC0207_ses-20000101_seq-4supine2mmaxials_ref-2</t>
  </si>
  <si>
    <t>liver0090</t>
  </si>
  <si>
    <t>liver0104</t>
  </si>
  <si>
    <t>Keine Rippen, morphology thorakal, aber hier L1</t>
  </si>
  <si>
    <t>liver0106</t>
  </si>
  <si>
    <t>[7, 8, 9, 10, 11, 12, 13, 14, 15, 16, 17, 18, 20, 21, 22, 23, 24, 25]</t>
  </si>
  <si>
    <t>liver0184</t>
  </si>
  <si>
    <t>liver0189</t>
  </si>
  <si>
    <t>liver0190</t>
  </si>
  <si>
    <t>29_dir-sag_sequ-29CTThoraxAbdomenRoutine201009070900462a</t>
  </si>
  <si>
    <t>dataset-fxclass</t>
  </si>
  <si>
    <t>30_dir-sag_sequ-30CTHalsThoraxAbdomenStandard200907211321446a</t>
  </si>
  <si>
    <t>50_dir-sag_sequ-50CTLUNGENEMBOLIEThorax200809051943288041</t>
  </si>
  <si>
    <t>85_dir-sag_sequ-85CTThoraxAbdomenRoutine201201311250335a</t>
  </si>
  <si>
    <t>Passt keine rippen, metallnagel</t>
  </si>
  <si>
    <t>ctfu00384_ses-20130121</t>
  </si>
  <si>
    <t>fxclass0006_dir-sag_sequ-Wirbelaule20MPR3</t>
  </si>
  <si>
    <t>fxclass0118_dir-sag_sequ-WS30MPR12</t>
  </si>
  <si>
    <t>fxclass0137_dir-sag_sequ-WS30MPR4</t>
  </si>
  <si>
    <t>fxclass0145_dir-iso_sequ-ThAbdWTi22</t>
  </si>
  <si>
    <t>[8, 9, 10, 11, 12, 13, 14, 15, 16, 17, 18, 19, 20, 21, 22, 23, 24]</t>
  </si>
  <si>
    <t>fxclass0150_dir-sag_sequ-WS30MPRsag4</t>
  </si>
  <si>
    <t>fxclass0167_dir-iso_sequ-kfWS4</t>
  </si>
  <si>
    <t>fxclass0174_dir-sag_sequ-WS30MPR4</t>
  </si>
  <si>
    <t>[7, 8, 9, 10, 11, 12, 13, 14, 15, 16, 17, 18, 19, 20, 21, 22, 23]</t>
  </si>
  <si>
    <t>fxclass0176_dir-sag_sequ-Wirbelsaule30mmsag6</t>
  </si>
  <si>
    <t>fxclass0180_dir-sag_sequ-sagMPRBWSLWSkn81036</t>
  </si>
  <si>
    <t>fxclass0187_dir-iso_sequ-ThAbdWTi22</t>
  </si>
  <si>
    <t>fxclass0190_dir-sag_sequ-WirbelsauleWT20mmsag5</t>
  </si>
  <si>
    <t>SUPER EDGE CASE unsicher, eher T13</t>
  </si>
  <si>
    <t>fxclass0219_dir-sag_sequ-Wirbelsaule30mmsag4</t>
  </si>
  <si>
    <t>fxclass0220_dir-iso_sequ-WSWTfurMPRiDose4302</t>
  </si>
  <si>
    <t>fxclass0237_dir-iso_sequ-ThAbdi6YAiDose6202</t>
  </si>
  <si>
    <t>fxclass0261_dir-iso_sequ-KNnavi8</t>
  </si>
  <si>
    <t>Type 4 nur links → lumbar</t>
  </si>
  <si>
    <t>fxclass0293_dir-iso_sequ-KNdunnfurMPR7</t>
  </si>
  <si>
    <t>fxclass0308_dir-sag_sequ-WSsag30mm10</t>
  </si>
  <si>
    <t>SR_r → T13 L4</t>
  </si>
  <si>
    <t>fxclass0309_dir-sag_sequ-sagMPRBLWSKn80232</t>
  </si>
  <si>
    <t>fxclass0311_dir-iso_sequ-ThAbdWT09i6iDose6201</t>
  </si>
  <si>
    <t>SR r</t>
  </si>
  <si>
    <t>fxclass0318_dir-sag_sequ-knochensaglunge609</t>
  </si>
  <si>
    <t>fxclass0330_dir-sag_sequ-BWSsagWT8039</t>
  </si>
  <si>
    <t>fxclass0337_dir-sag_sequ-BWSLWSWTsag80812</t>
  </si>
  <si>
    <t>SR l, r fused</t>
  </si>
  <si>
    <t>fxclass0347_dir-sag_sequ-WS30MPR4</t>
  </si>
  <si>
    <t>fxclass0397_dir-iso_sequ-ThAbdWTi2iDose2201</t>
  </si>
  <si>
    <t>ID0015_ses-22092009_ce-pv</t>
  </si>
  <si>
    <t>dataset-sagthomas</t>
  </si>
  <si>
    <t>ID0019_ses-06102008_ce-pv</t>
  </si>
  <si>
    <t>ID0024_ses-03112009_ce-pv</t>
  </si>
  <si>
    <t>ID0039_ses-22012009_ce-pv</t>
  </si>
  <si>
    <t>SR l, sehr klein, aber rand case T13</t>
  </si>
  <si>
    <t>ID0047_ses-17082007_ce-pv</t>
  </si>
  <si>
    <t>labelgap</t>
  </si>
  <si>
    <t>ID0048_ses-30062008_ce-pv</t>
  </si>
  <si>
    <t>ID0048_ses-31102007_ce-pv</t>
  </si>
  <si>
    <t>ID0049_ses-14082007_ce-pv</t>
  </si>
  <si>
    <t>Keine Rippen, prior T11 → enumeration richtig?</t>
  </si>
  <si>
    <t>ID0050_ses-21092007_ce-pv</t>
  </si>
  <si>
    <t>SUPER EDGE CASE unishcer, eher T13</t>
  </si>
  <si>
    <t>ID0054_ses-25042007_ce-pv</t>
  </si>
  <si>
    <t>ID0062_ses-28012010_ce-pv</t>
  </si>
  <si>
    <t>ID0071_ses-25062007_ce-pv</t>
  </si>
  <si>
    <t>ID0074_ses-01022010_ce-pv</t>
  </si>
  <si>
    <t>Passt keine rippen</t>
  </si>
  <si>
    <t>ID0084_ses-16082007_ce-pv</t>
  </si>
  <si>
    <t>ID0087_ses-08022010_ce-pv</t>
  </si>
  <si>
    <t>Keine Rippen, startüberprüft als 8</t>
  </si>
  <si>
    <t>ID0087_ses-25062007_ce-pv</t>
  </si>
  <si>
    <t>[9, 10, 11, 12, 13, 14, 15, 16, 17, 18, 19, 28, 20, 21, 22, 23, 24]</t>
  </si>
  <si>
    <t>ID0089_ses-24112010_ce-pv</t>
  </si>
  <si>
    <t>[7, 8, 9, 10, 11, 12, 13, 14, 15, 16, 17, 18, 19, 28, 20, 21, 22, 23, 24]</t>
  </si>
  <si>
    <t>ID0090_ses-20052010_ce-pv</t>
  </si>
  <si>
    <t>ID0091_ses-23112007_ce-pv</t>
  </si>
  <si>
    <t>Type 4 rechts → lumbar</t>
  </si>
  <si>
    <t>ID0102_ses-21052008_ce-pv</t>
  </si>
  <si>
    <t>[6, 7, 8, 9, 10, 11, 12, 13, 14, 15, 16, 17, 18, 20, 21, 22, 23, 24, 25]</t>
  </si>
  <si>
    <t>ID0131_ses-12022007_ce-pv</t>
  </si>
  <si>
    <t>ID0133_ses-20082007_ce-pv</t>
  </si>
  <si>
    <t>ID0133_ses-24092008_ce-pv</t>
  </si>
  <si>
    <t>ID0147_ses-18092008_ce-pv</t>
  </si>
  <si>
    <t>ID0151_ses-17112010_ce-pv</t>
  </si>
  <si>
    <t>ID0154_ses-28022007_ce-pv</t>
  </si>
  <si>
    <t>ID0165_ses-20072011_ce-pv</t>
  </si>
  <si>
    <t>ID0166_ses-20052011_ce-pv</t>
  </si>
  <si>
    <t>Type 4 → lumbar, morphology perfecte edge case</t>
  </si>
  <si>
    <t>perfekter edge case</t>
  </si>
  <si>
    <t>ID0186_ses-02052008_ce-pv</t>
  </si>
  <si>
    <t>ID0200_ses-30092008_ce-pv</t>
  </si>
  <si>
    <t>ID0203_ses-20072010_ce-pv</t>
  </si>
  <si>
    <t>ID0206_ses-12112007_ce-pv</t>
  </si>
  <si>
    <t>ID0207_ses-17052010_ce-pv</t>
  </si>
  <si>
    <t>ID0207_ses-25062007_ce-pv</t>
  </si>
  <si>
    <t>ID0235_ses-04072007_ce-pv</t>
  </si>
  <si>
    <t>ID0253_ses-07042011_ce-pv</t>
  </si>
  <si>
    <t>ID0260_ses-02022011_ce-pv</t>
  </si>
  <si>
    <t>ID0260_ses-14092007_ce-pv</t>
  </si>
  <si>
    <t>ID0281_ses-24062008_ce-pv</t>
  </si>
  <si>
    <t>ID0297_ses-29102010_ce-pv</t>
  </si>
  <si>
    <t>[8, 9, 10, 11, 12, 13, 14, 15, 16, 17, 18, 19, 20, 21, 22, 23]</t>
  </si>
  <si>
    <t>SONDERFALL: prior T11 → T12 (L4)</t>
  </si>
  <si>
    <t>ID0307_ses-07122009_ce-pv</t>
  </si>
  <si>
    <t>ID0309_ses-25032008_ce-pv</t>
  </si>
  <si>
    <t>ID0319_ses-22062007_ce-pv</t>
  </si>
  <si>
    <t>ID0319_ses-30052008_ce-pv</t>
  </si>
  <si>
    <t>ID0325_ses-26062007_ce-pv</t>
  </si>
  <si>
    <t>ID0332_ses-14112007_ce-pv</t>
  </si>
  <si>
    <t>ID0332_ses-29032011_ce-pv</t>
  </si>
  <si>
    <t>ID0335_ses-14072009_ce-pv</t>
  </si>
  <si>
    <t>ID0339_ses-05062008_ce-pv</t>
  </si>
  <si>
    <t>ID0374_ses-04112009_ce-pv</t>
  </si>
  <si>
    <t>ID0378_ses-06082009_ce-pv</t>
  </si>
  <si>
    <t>ID0386_ses-27062007_ce-pv</t>
  </si>
  <si>
    <t>ID0387_ses-25062010_ce-pv</t>
  </si>
  <si>
    <t>ID0406_ses-08092008_ce-pv</t>
  </si>
  <si>
    <t>ID0423_ses-17102007_ce-pv</t>
  </si>
  <si>
    <t>[7, 8, 9, 10, 11, 12, 13, 14, 15, 16, 17, 18, 19, 20, 21, 22, 23, 24]</t>
  </si>
  <si>
    <t>ID0423_ses-28072008_ce-pv</t>
  </si>
  <si>
    <t>tri166_ce-pv</t>
  </si>
  <si>
    <t>dataset-tri</t>
  </si>
  <si>
    <t>SEGFAIL</t>
  </si>
  <si>
    <t>verse011</t>
  </si>
  <si>
    <t>dataset-verse19</t>
  </si>
  <si>
    <t>verse119</t>
  </si>
  <si>
    <t>verse403_split-verse255</t>
  </si>
  <si>
    <t>verse406_split-verse261</t>
  </si>
  <si>
    <t>verse411_split-verse270</t>
  </si>
  <si>
    <t>verse416_split-verse279</t>
  </si>
  <si>
    <t>verse509_dir-iso</t>
  </si>
  <si>
    <t>dataset-verse20</t>
  </si>
  <si>
    <t>verse512_dir-iso</t>
  </si>
  <si>
    <t>verse513</t>
  </si>
  <si>
    <t>verse542_dir-iso</t>
  </si>
  <si>
    <t>verse557_dir-ax</t>
  </si>
  <si>
    <t>verse559</t>
  </si>
  <si>
    <t>[3, 4, 5, 6, 7, 8, 9, 10, 11, 12, 13, 14, 15, 16, 17, 18, 19, 20, 21, 22, 23]</t>
  </si>
  <si>
    <t>Prior T11 -&gt; Normaler T12</t>
  </si>
  <si>
    <t>verse560_dir-iso</t>
  </si>
  <si>
    <t>verse576</t>
  </si>
  <si>
    <t>verse587_dir-iso</t>
  </si>
  <si>
    <t>verse593_dir-sag</t>
  </si>
  <si>
    <t>verse599_dir-iso</t>
  </si>
  <si>
    <t>verse606</t>
  </si>
  <si>
    <t>[6, 7, 8, 9, 10, 11, 12, 13, 14, 15, 16, 17, 18, 19, 20, 21, 22, 23, 24]</t>
  </si>
  <si>
    <t>verse613_dir-iso</t>
  </si>
  <si>
    <t>verse620_dir-iso</t>
  </si>
  <si>
    <t>verse623</t>
  </si>
  <si>
    <t>verse757</t>
  </si>
  <si>
    <t>verse765</t>
  </si>
  <si>
    <t>verse803_dir-iso</t>
  </si>
  <si>
    <t>ID0114_ses-30112010_ce-pv</t>
  </si>
  <si>
    <t>SR bds, T13</t>
  </si>
  <si>
    <t>verse642_dir-sag</t>
  </si>
  <si>
    <t>[6, 7, 8, 9, 10, 11, 12, 13, 14, 15, 16, 17, 18, 19, 20, 21, 22, 23, 24, 25]</t>
  </si>
  <si>
    <t>Block</t>
  </si>
  <si>
    <t>All</t>
  </si>
  <si>
    <t>dataset-gl</t>
  </si>
  <si>
    <t>dataset-rsna_org</t>
  </si>
  <si>
    <t>Dataset-verse20</t>
  </si>
  <si>
    <t>dataset-xvertsegCropped</t>
  </si>
  <si>
    <t>Number entries</t>
  </si>
  <si>
    <t>Number patients (m)</t>
  </si>
  <si>
    <t>N_ANY</t>
  </si>
  <si>
    <t>N_TEA_Anomaly</t>
  </si>
  <si>
    <t>N_T11</t>
  </si>
  <si>
    <t>N_T13</t>
  </si>
  <si>
    <t>N_Remove</t>
  </si>
  <si>
    <t>N_TLTV</t>
  </si>
  <si>
    <t>Rel to Patients</t>
  </si>
  <si>
    <t>% ANY</t>
  </si>
  <si>
    <t>% TEA_Anomaly</t>
  </si>
  <si>
    <t>% T11</t>
  </si>
  <si>
    <t>% T13</t>
  </si>
  <si>
    <t>% Remove</t>
  </si>
  <si>
    <t>% TLTV</t>
  </si>
  <si>
    <t>Rel to entries</t>
  </si>
  <si>
    <t>Keine Rippen, T11, T3 MERGED</t>
  </si>
  <si>
    <t>Keine Rippen, T11, L6 nach L4…</t>
  </si>
  <si>
    <t>ID0148_ses-22012009_ce-pv_vert25</t>
  </si>
  <si>
    <t>ID0148_ses-22012009_ce-pv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</si>
</sst>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d\-mmm"/>
  </numFmts>
  <fonts count="4" x14ac:knownFonts="1">
    <font>
      <sz val="11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B66C"/>
        <bgColor rgb="FFFFDBB6"/>
      </patternFill>
    </fill>
    <fill>
      <patternFill patternType="solid">
        <fgColor rgb="FFFFDBB6"/>
        <bgColor rgb="FFFBE3D6"/>
      </patternFill>
    </fill>
    <fill>
      <patternFill patternType="solid">
        <fgColor rgb="FFFFFF00"/>
        <bgColor rgb="FFFFFF00"/>
      </patternFill>
    </fill>
    <fill>
      <patternFill patternType="solid">
        <fgColor rgb="FFFBE3D6"/>
        <bgColor rgb="FFFFDBB6"/>
      </patternFill>
    </fill>
    <fill>
      <patternFill patternType="solid">
        <fgColor rgb="FFE8E8E8"/>
        <bgColor rgb="FFFBE3D6"/>
      </patternFill>
    </fill>
    <fill>
      <patternFill patternType="solid">
        <fgColor rgb="FFCCCCCC"/>
        <bgColor rgb="FFCC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1" fillId="0" borderId="0" xfId="5"/>
    <xf numFmtId="164" fontId="0" fillId="0" borderId="0" xfId="0" applyNumberFormat="1"/>
    <xf numFmtId="165" fontId="0" fillId="0" borderId="0" xfId="0" applyNumberFormat="1"/>
    <xf numFmtId="0" fontId="1" fillId="0" borderId="0" xfId="4"/>
    <xf numFmtId="0" fontId="0" fillId="0" borderId="1" xfId="0" applyBorder="1"/>
    <xf numFmtId="0" fontId="1" fillId="0" borderId="0" xfId="3"/>
    <xf numFmtId="0" fontId="0" fillId="0" borderId="2" xfId="0" applyBorder="1"/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</cellXfs>
  <cellStyles count="6">
    <cellStyle name="Standard" xfId="0" builtinId="0"/>
    <cellStyle name="Standard 2" xfId="1" xr:uid="{00000000-0005-0000-0000-000006000000}"/>
    <cellStyle name="Standard 3" xfId="2" xr:uid="{00000000-0005-0000-0000-000007000000}"/>
    <cellStyle name="Standard 4" xfId="3" xr:uid="{00000000-0005-0000-0000-000008000000}"/>
    <cellStyle name="Standard 5" xfId="4" xr:uid="{00000000-0005-0000-0000-000009000000}"/>
    <cellStyle name="Standard 6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B66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9"/>
  <sheetViews>
    <sheetView tabSelected="1" zoomScaleNormal="100" workbookViewId="0">
      <selection activeCell="A4" sqref="A4:XFD4"/>
    </sheetView>
  </sheetViews>
  <sheetFormatPr baseColWidth="10" defaultColWidth="8.5" defaultRowHeight="15" customHeight="1" x14ac:dyDescent="0.2"/>
  <cols>
    <col min="2" max="2" width="40.5" customWidth="1"/>
    <col min="3" max="3" width="21" customWidth="1"/>
    <col min="4" max="4" width="12.83203125" style="1" customWidth="1"/>
    <col min="5" max="5" width="8.1640625" style="2" customWidth="1"/>
    <col min="6" max="6" width="8.1640625" style="3" customWidth="1"/>
    <col min="7" max="8" width="8.5" style="1"/>
    <col min="9" max="9" width="7.6640625" style="4" customWidth="1"/>
    <col min="10" max="10" width="13.83203125" style="5" customWidth="1"/>
    <col min="11" max="11" width="10.6640625" style="6" customWidth="1"/>
    <col min="12" max="14" width="8.5" style="1" customWidth="1"/>
    <col min="15" max="15" width="40.83203125" customWidth="1"/>
  </cols>
  <sheetData>
    <row r="1" spans="1:15" ht="15" customHeight="1" x14ac:dyDescent="0.2">
      <c r="B1" s="7" t="s">
        <v>0</v>
      </c>
      <c r="C1" s="7" t="s">
        <v>1</v>
      </c>
      <c r="D1" s="7" t="s">
        <v>2</v>
      </c>
      <c r="E1" s="8" t="s">
        <v>3</v>
      </c>
      <c r="F1" s="9" t="s">
        <v>4</v>
      </c>
      <c r="G1" s="7" t="s">
        <v>5</v>
      </c>
      <c r="H1" s="7" t="s">
        <v>6</v>
      </c>
      <c r="I1" s="10" t="s">
        <v>7</v>
      </c>
      <c r="J1" s="11" t="s">
        <v>8</v>
      </c>
      <c r="K1" s="12" t="s">
        <v>9</v>
      </c>
      <c r="L1" s="7" t="s">
        <v>10</v>
      </c>
      <c r="M1" s="13" t="s">
        <v>11</v>
      </c>
      <c r="N1" s="13" t="s">
        <v>12</v>
      </c>
      <c r="O1" s="14" t="s">
        <v>13</v>
      </c>
    </row>
    <row r="2" spans="1:15" ht="15" customHeight="1" x14ac:dyDescent="0.2">
      <c r="A2" s="7">
        <v>0</v>
      </c>
      <c r="B2" t="s">
        <v>14</v>
      </c>
      <c r="C2" t="s">
        <v>15</v>
      </c>
      <c r="D2" s="1">
        <v>20</v>
      </c>
      <c r="E2" s="2">
        <f>COUNTIF($B$2:B2, B2)</f>
        <v>1</v>
      </c>
      <c r="F2" s="3">
        <v>0</v>
      </c>
      <c r="G2" s="1">
        <v>0</v>
      </c>
      <c r="H2" s="1">
        <v>1</v>
      </c>
      <c r="I2" s="4">
        <f t="shared" ref="I2:I33" si="0">SUM(G2:H2)</f>
        <v>1</v>
      </c>
      <c r="L2" s="1">
        <v>1</v>
      </c>
      <c r="M2" s="1">
        <v>1</v>
      </c>
      <c r="N2" s="1">
        <v>1</v>
      </c>
      <c r="O2" t="s">
        <v>16</v>
      </c>
    </row>
    <row r="3" spans="1:15" ht="15" customHeight="1" x14ac:dyDescent="0.2">
      <c r="A3" s="7">
        <v>1</v>
      </c>
      <c r="B3" t="s">
        <v>17</v>
      </c>
      <c r="C3" t="s">
        <v>15</v>
      </c>
      <c r="D3" s="1">
        <v>20</v>
      </c>
      <c r="E3" s="2">
        <f>COUNTIF($B$2:B3, B3)</f>
        <v>1</v>
      </c>
      <c r="F3" s="3">
        <v>0</v>
      </c>
      <c r="G3" s="1">
        <v>0</v>
      </c>
      <c r="H3" s="1">
        <v>0</v>
      </c>
      <c r="I3" s="4">
        <f t="shared" si="0"/>
        <v>0</v>
      </c>
      <c r="L3" s="1">
        <v>0</v>
      </c>
      <c r="M3" s="1">
        <v>0</v>
      </c>
      <c r="N3" s="1">
        <v>0</v>
      </c>
      <c r="O3" t="s">
        <v>18</v>
      </c>
    </row>
    <row r="4" spans="1:15" ht="15" customHeight="1" x14ac:dyDescent="0.2">
      <c r="A4" s="7">
        <v>2</v>
      </c>
      <c r="B4" t="s">
        <v>19</v>
      </c>
      <c r="C4" t="s">
        <v>15</v>
      </c>
      <c r="D4" s="1">
        <v>20</v>
      </c>
      <c r="E4" s="2">
        <f>COUNTIF($B$2:B4, B4)</f>
        <v>1</v>
      </c>
      <c r="F4" s="3">
        <v>0</v>
      </c>
      <c r="G4" s="1">
        <v>0</v>
      </c>
      <c r="H4" s="1">
        <v>1</v>
      </c>
      <c r="I4" s="4">
        <f t="shared" si="0"/>
        <v>1</v>
      </c>
      <c r="L4" s="1">
        <v>1</v>
      </c>
      <c r="M4" s="1">
        <v>1</v>
      </c>
      <c r="N4" s="1">
        <v>1</v>
      </c>
      <c r="O4" t="s">
        <v>16</v>
      </c>
    </row>
    <row r="5" spans="1:15" ht="15" customHeight="1" x14ac:dyDescent="0.2">
      <c r="A5" s="7">
        <v>3</v>
      </c>
      <c r="B5" t="s">
        <v>20</v>
      </c>
      <c r="C5" t="s">
        <v>15</v>
      </c>
      <c r="D5" s="1">
        <v>20</v>
      </c>
      <c r="E5" s="2">
        <f>COUNTIF($B$2:B5, B5)</f>
        <v>1</v>
      </c>
      <c r="F5" s="3">
        <v>0</v>
      </c>
      <c r="G5" s="1">
        <v>0</v>
      </c>
      <c r="H5" s="1">
        <v>0</v>
      </c>
      <c r="I5" s="4">
        <f t="shared" si="0"/>
        <v>0</v>
      </c>
      <c r="L5" s="1">
        <v>0</v>
      </c>
      <c r="M5" s="1">
        <v>0</v>
      </c>
      <c r="N5" s="1">
        <v>0</v>
      </c>
      <c r="O5" t="s">
        <v>21</v>
      </c>
    </row>
    <row r="6" spans="1:15" ht="15" customHeight="1" x14ac:dyDescent="0.2">
      <c r="A6" s="7">
        <v>4</v>
      </c>
      <c r="B6" t="s">
        <v>22</v>
      </c>
      <c r="C6" t="s">
        <v>15</v>
      </c>
      <c r="D6" s="1">
        <v>20</v>
      </c>
      <c r="E6" s="2">
        <f>COUNTIF($B$2:B6, B6)</f>
        <v>1</v>
      </c>
      <c r="F6" s="3">
        <v>0</v>
      </c>
      <c r="G6" s="1">
        <v>0</v>
      </c>
      <c r="H6" s="1">
        <v>1</v>
      </c>
      <c r="I6" s="4">
        <f t="shared" si="0"/>
        <v>1</v>
      </c>
      <c r="L6" s="1">
        <v>1</v>
      </c>
      <c r="M6" s="1">
        <v>1</v>
      </c>
      <c r="N6" s="1">
        <v>1</v>
      </c>
      <c r="O6" t="s">
        <v>16</v>
      </c>
    </row>
    <row r="7" spans="1:15" ht="15" customHeight="1" x14ac:dyDescent="0.2">
      <c r="A7" s="7">
        <v>5</v>
      </c>
      <c r="B7" t="s">
        <v>23</v>
      </c>
      <c r="C7" t="s">
        <v>15</v>
      </c>
      <c r="D7" s="1">
        <v>20</v>
      </c>
      <c r="E7" s="2">
        <f>COUNTIF($B$2:B7, B7)</f>
        <v>1</v>
      </c>
      <c r="F7" s="3">
        <v>0</v>
      </c>
      <c r="G7" s="1">
        <v>0</v>
      </c>
      <c r="H7" s="1">
        <v>0</v>
      </c>
      <c r="I7" s="4">
        <f t="shared" si="0"/>
        <v>0</v>
      </c>
      <c r="L7" s="1">
        <v>1</v>
      </c>
      <c r="M7" s="1">
        <v>0</v>
      </c>
      <c r="N7" s="1">
        <v>0</v>
      </c>
      <c r="O7" t="s">
        <v>24</v>
      </c>
    </row>
    <row r="8" spans="1:15" ht="15" customHeight="1" x14ac:dyDescent="0.2">
      <c r="A8" s="7">
        <v>6</v>
      </c>
      <c r="B8" t="s">
        <v>25</v>
      </c>
      <c r="C8" t="s">
        <v>15</v>
      </c>
      <c r="D8" s="1">
        <v>20</v>
      </c>
      <c r="E8" s="2">
        <f>COUNTIF($B$2:B8, B8)</f>
        <v>1</v>
      </c>
      <c r="F8" s="3">
        <v>0</v>
      </c>
      <c r="G8" s="1">
        <v>0</v>
      </c>
      <c r="H8" s="1">
        <v>1</v>
      </c>
      <c r="I8" s="4">
        <f t="shared" si="0"/>
        <v>1</v>
      </c>
      <c r="L8" s="1">
        <v>1</v>
      </c>
      <c r="M8" s="1">
        <v>1</v>
      </c>
      <c r="N8" s="1">
        <v>1</v>
      </c>
      <c r="O8" t="s">
        <v>16</v>
      </c>
    </row>
    <row r="9" spans="1:15" ht="15" customHeight="1" x14ac:dyDescent="0.2">
      <c r="A9" s="7">
        <v>7</v>
      </c>
      <c r="B9" t="s">
        <v>26</v>
      </c>
      <c r="C9" t="s">
        <v>15</v>
      </c>
      <c r="D9" s="1">
        <v>20</v>
      </c>
      <c r="E9" s="2">
        <f>COUNTIF($B$2:B9, B9)</f>
        <v>1</v>
      </c>
      <c r="F9" s="3">
        <v>0</v>
      </c>
      <c r="G9" s="1">
        <v>0</v>
      </c>
      <c r="H9" s="1">
        <v>1</v>
      </c>
      <c r="I9" s="4">
        <f t="shared" si="0"/>
        <v>1</v>
      </c>
      <c r="L9" s="1">
        <v>1</v>
      </c>
      <c r="M9" s="1">
        <v>1</v>
      </c>
      <c r="N9" s="1">
        <v>1</v>
      </c>
      <c r="O9" t="s">
        <v>27</v>
      </c>
    </row>
    <row r="10" spans="1:15" ht="15" customHeight="1" x14ac:dyDescent="0.2">
      <c r="A10" s="7">
        <v>8</v>
      </c>
      <c r="B10" t="s">
        <v>28</v>
      </c>
      <c r="C10" t="s">
        <v>15</v>
      </c>
      <c r="D10" s="1">
        <v>20</v>
      </c>
      <c r="E10" s="2">
        <f>COUNTIF($B$2:B10, B10)</f>
        <v>1</v>
      </c>
      <c r="F10" s="3">
        <v>0</v>
      </c>
      <c r="G10" s="1">
        <v>0</v>
      </c>
      <c r="H10" s="1">
        <v>0</v>
      </c>
      <c r="I10" s="4">
        <f t="shared" si="0"/>
        <v>0</v>
      </c>
      <c r="L10" s="1">
        <v>0</v>
      </c>
      <c r="M10" s="1">
        <v>0</v>
      </c>
      <c r="N10" s="1">
        <v>0</v>
      </c>
      <c r="O10" t="s">
        <v>21</v>
      </c>
    </row>
    <row r="11" spans="1:15" ht="15" customHeight="1" x14ac:dyDescent="0.2">
      <c r="A11" s="7">
        <v>9</v>
      </c>
      <c r="B11" t="s">
        <v>29</v>
      </c>
      <c r="C11" t="s">
        <v>15</v>
      </c>
      <c r="D11" s="1">
        <v>20</v>
      </c>
      <c r="E11" s="2">
        <f>COUNTIF($B$2:B11, B11)</f>
        <v>1</v>
      </c>
      <c r="F11" s="3">
        <v>0</v>
      </c>
      <c r="G11" s="1">
        <v>0</v>
      </c>
      <c r="H11" s="1">
        <v>1</v>
      </c>
      <c r="I11" s="4">
        <f t="shared" si="0"/>
        <v>1</v>
      </c>
      <c r="L11" s="1">
        <v>1</v>
      </c>
      <c r="M11" s="1">
        <v>1</v>
      </c>
      <c r="N11" s="1">
        <v>1</v>
      </c>
      <c r="O11" t="s">
        <v>16</v>
      </c>
    </row>
    <row r="12" spans="1:15" ht="15" customHeight="1" x14ac:dyDescent="0.2">
      <c r="A12" s="7">
        <v>10</v>
      </c>
      <c r="B12" t="s">
        <v>30</v>
      </c>
      <c r="C12" t="s">
        <v>15</v>
      </c>
      <c r="D12" s="1">
        <v>20</v>
      </c>
      <c r="E12" s="2">
        <f>COUNTIF($B$2:B12, B12)</f>
        <v>1</v>
      </c>
      <c r="F12" s="3">
        <v>0</v>
      </c>
      <c r="G12" s="1">
        <v>0</v>
      </c>
      <c r="H12" s="1">
        <v>1</v>
      </c>
      <c r="I12" s="4">
        <f t="shared" si="0"/>
        <v>1</v>
      </c>
      <c r="L12" s="1">
        <v>1</v>
      </c>
      <c r="M12" s="1">
        <v>1</v>
      </c>
      <c r="N12" s="1">
        <v>0</v>
      </c>
      <c r="O12" t="s">
        <v>31</v>
      </c>
    </row>
    <row r="13" spans="1:15" ht="15" customHeight="1" x14ac:dyDescent="0.2">
      <c r="A13" s="7">
        <v>11</v>
      </c>
      <c r="B13" t="s">
        <v>32</v>
      </c>
      <c r="C13" t="s">
        <v>15</v>
      </c>
      <c r="D13" s="1">
        <v>20</v>
      </c>
      <c r="E13" s="2">
        <f>COUNTIF($B$2:B13, B13)</f>
        <v>1</v>
      </c>
      <c r="F13" s="3">
        <v>0</v>
      </c>
      <c r="G13" s="1">
        <v>0</v>
      </c>
      <c r="H13" s="1">
        <v>0</v>
      </c>
      <c r="I13" s="4">
        <f t="shared" si="0"/>
        <v>0</v>
      </c>
      <c r="L13" s="1">
        <v>1</v>
      </c>
      <c r="M13" s="1">
        <v>0</v>
      </c>
      <c r="N13" s="1">
        <v>0</v>
      </c>
      <c r="O13" t="s">
        <v>24</v>
      </c>
    </row>
    <row r="14" spans="1:15" ht="15" customHeight="1" x14ac:dyDescent="0.2">
      <c r="A14" s="7">
        <v>12</v>
      </c>
      <c r="B14" t="s">
        <v>33</v>
      </c>
      <c r="C14" t="s">
        <v>15</v>
      </c>
      <c r="D14" s="1">
        <v>20</v>
      </c>
      <c r="E14" s="2">
        <f>COUNTIF($B$2:B14, B14)</f>
        <v>1</v>
      </c>
      <c r="F14" s="3">
        <v>0</v>
      </c>
      <c r="G14" s="1">
        <v>0</v>
      </c>
      <c r="H14" s="1">
        <v>1</v>
      </c>
      <c r="I14" s="4">
        <f t="shared" si="0"/>
        <v>1</v>
      </c>
      <c r="L14" s="1">
        <v>1</v>
      </c>
      <c r="M14" s="1">
        <v>1</v>
      </c>
      <c r="N14" s="1">
        <v>0</v>
      </c>
      <c r="O14" t="s">
        <v>31</v>
      </c>
    </row>
    <row r="15" spans="1:15" ht="15" customHeight="1" x14ac:dyDescent="0.2">
      <c r="A15" s="7">
        <v>13</v>
      </c>
      <c r="B15" t="s">
        <v>34</v>
      </c>
      <c r="C15" t="s">
        <v>15</v>
      </c>
      <c r="D15" s="1">
        <v>20</v>
      </c>
      <c r="E15" s="2">
        <f>COUNTIF($B$2:B15, B15)</f>
        <v>1</v>
      </c>
      <c r="F15" s="3">
        <v>0</v>
      </c>
      <c r="G15" s="1">
        <v>0</v>
      </c>
      <c r="H15" s="1">
        <v>1</v>
      </c>
      <c r="I15" s="4">
        <f t="shared" si="0"/>
        <v>1</v>
      </c>
      <c r="L15" s="1">
        <v>1</v>
      </c>
      <c r="M15" s="1">
        <v>1</v>
      </c>
      <c r="N15" s="1">
        <v>1</v>
      </c>
      <c r="O15" t="s">
        <v>16</v>
      </c>
    </row>
    <row r="16" spans="1:15" ht="15" customHeight="1" x14ac:dyDescent="0.2">
      <c r="A16" s="7">
        <v>14</v>
      </c>
      <c r="B16" t="s">
        <v>35</v>
      </c>
      <c r="C16" t="s">
        <v>15</v>
      </c>
      <c r="D16" s="1">
        <v>20</v>
      </c>
      <c r="E16" s="2">
        <f>COUNTIF($B$2:B16, B16)</f>
        <v>1</v>
      </c>
      <c r="F16" s="3">
        <v>0</v>
      </c>
      <c r="G16" s="1">
        <v>0</v>
      </c>
      <c r="H16" s="1">
        <v>1</v>
      </c>
      <c r="I16" s="4">
        <f t="shared" si="0"/>
        <v>1</v>
      </c>
      <c r="L16" s="1">
        <v>1</v>
      </c>
      <c r="M16" s="1">
        <v>1</v>
      </c>
      <c r="N16" s="1">
        <v>1</v>
      </c>
      <c r="O16" t="s">
        <v>16</v>
      </c>
    </row>
    <row r="17" spans="1:15" ht="15" customHeight="1" x14ac:dyDescent="0.2">
      <c r="A17" s="7">
        <v>15</v>
      </c>
      <c r="B17" t="s">
        <v>36</v>
      </c>
      <c r="C17" t="s">
        <v>15</v>
      </c>
      <c r="D17" s="1">
        <v>20</v>
      </c>
      <c r="E17" s="2">
        <f>COUNTIF($B$2:B17, B17)</f>
        <v>1</v>
      </c>
      <c r="F17" s="3">
        <v>0</v>
      </c>
      <c r="G17" s="1">
        <v>0</v>
      </c>
      <c r="H17" s="1">
        <v>1</v>
      </c>
      <c r="I17" s="4">
        <f t="shared" si="0"/>
        <v>1</v>
      </c>
      <c r="L17" s="1">
        <v>1</v>
      </c>
      <c r="M17" s="1">
        <v>1</v>
      </c>
      <c r="N17" s="1">
        <v>1</v>
      </c>
      <c r="O17" t="s">
        <v>37</v>
      </c>
    </row>
    <row r="18" spans="1:15" ht="15" customHeight="1" x14ac:dyDescent="0.2">
      <c r="A18" s="7">
        <v>16</v>
      </c>
      <c r="B18" t="s">
        <v>38</v>
      </c>
      <c r="C18" t="s">
        <v>15</v>
      </c>
      <c r="D18" s="1">
        <v>20</v>
      </c>
      <c r="E18" s="2">
        <f>COUNTIF($B$2:B18, B18)</f>
        <v>1</v>
      </c>
      <c r="F18" s="3">
        <v>0</v>
      </c>
      <c r="G18" s="1">
        <v>0</v>
      </c>
      <c r="H18" s="1">
        <v>0</v>
      </c>
      <c r="I18" s="4">
        <f t="shared" si="0"/>
        <v>0</v>
      </c>
      <c r="L18" s="1">
        <v>0</v>
      </c>
      <c r="M18" s="1">
        <v>0</v>
      </c>
      <c r="N18" s="1">
        <v>0</v>
      </c>
      <c r="O18" t="s">
        <v>21</v>
      </c>
    </row>
    <row r="19" spans="1:15" ht="15" customHeight="1" x14ac:dyDescent="0.2">
      <c r="A19" s="7">
        <v>17</v>
      </c>
      <c r="B19" t="s">
        <v>39</v>
      </c>
      <c r="C19" t="s">
        <v>15</v>
      </c>
      <c r="D19" s="1">
        <v>19</v>
      </c>
      <c r="E19" s="2">
        <f>COUNTIF($B$2:B19, B19)</f>
        <v>1</v>
      </c>
      <c r="F19" s="3">
        <v>0</v>
      </c>
      <c r="G19" s="1">
        <v>0</v>
      </c>
      <c r="H19" s="1">
        <v>0</v>
      </c>
      <c r="I19" s="4">
        <f t="shared" si="0"/>
        <v>0</v>
      </c>
      <c r="L19" s="1">
        <v>0</v>
      </c>
      <c r="M19" s="1">
        <v>0</v>
      </c>
      <c r="N19" s="1">
        <v>0</v>
      </c>
      <c r="O19" t="s">
        <v>40</v>
      </c>
    </row>
    <row r="20" spans="1:15" ht="15" customHeight="1" x14ac:dyDescent="0.2">
      <c r="A20" s="7">
        <v>18</v>
      </c>
      <c r="B20" t="s">
        <v>41</v>
      </c>
      <c r="C20" t="s">
        <v>42</v>
      </c>
      <c r="D20" s="1">
        <v>20</v>
      </c>
      <c r="E20" s="2">
        <f>COUNTIF($B$2:B20, B20)</f>
        <v>1</v>
      </c>
      <c r="F20" s="3">
        <v>0</v>
      </c>
      <c r="G20" s="1">
        <v>0</v>
      </c>
      <c r="H20" s="1">
        <v>1</v>
      </c>
      <c r="I20" s="4">
        <f t="shared" si="0"/>
        <v>1</v>
      </c>
      <c r="L20" s="1">
        <v>1</v>
      </c>
      <c r="M20" s="1">
        <v>1</v>
      </c>
      <c r="N20" s="1">
        <v>1</v>
      </c>
      <c r="O20" t="s">
        <v>16</v>
      </c>
    </row>
    <row r="21" spans="1:15" ht="15" customHeight="1" x14ac:dyDescent="0.2">
      <c r="A21" s="7">
        <v>19</v>
      </c>
      <c r="B21" t="s">
        <v>43</v>
      </c>
      <c r="C21" t="s">
        <v>42</v>
      </c>
      <c r="D21" s="1">
        <v>20</v>
      </c>
      <c r="E21" s="2">
        <f>COUNTIF($B$2:B21, B21)</f>
        <v>1</v>
      </c>
      <c r="F21" s="3">
        <v>0</v>
      </c>
      <c r="G21" s="1">
        <v>0</v>
      </c>
      <c r="H21" s="1">
        <v>1</v>
      </c>
      <c r="I21" s="4">
        <f t="shared" si="0"/>
        <v>1</v>
      </c>
      <c r="L21" s="1">
        <v>1</v>
      </c>
      <c r="M21" s="1">
        <v>1</v>
      </c>
      <c r="N21" s="1">
        <v>1</v>
      </c>
      <c r="O21" t="s">
        <v>44</v>
      </c>
    </row>
    <row r="22" spans="1:15" ht="15" customHeight="1" x14ac:dyDescent="0.2">
      <c r="A22" s="7">
        <v>20</v>
      </c>
      <c r="B22" t="s">
        <v>45</v>
      </c>
      <c r="C22" t="s">
        <v>42</v>
      </c>
      <c r="D22" s="1">
        <v>20</v>
      </c>
      <c r="E22" s="2">
        <f>COUNTIF($B$2:B22, B22)</f>
        <v>1</v>
      </c>
      <c r="F22" s="3">
        <v>0</v>
      </c>
      <c r="G22" s="1">
        <v>0</v>
      </c>
      <c r="H22" s="1">
        <v>1</v>
      </c>
      <c r="I22" s="4">
        <f t="shared" si="0"/>
        <v>1</v>
      </c>
      <c r="L22" s="1">
        <v>1</v>
      </c>
      <c r="M22" s="1">
        <v>1</v>
      </c>
      <c r="N22" s="1">
        <v>1</v>
      </c>
      <c r="O22" t="s">
        <v>44</v>
      </c>
    </row>
    <row r="23" spans="1:15" ht="15" customHeight="1" x14ac:dyDescent="0.2">
      <c r="A23" s="7">
        <v>21</v>
      </c>
      <c r="B23" t="s">
        <v>46</v>
      </c>
      <c r="C23" t="s">
        <v>42</v>
      </c>
      <c r="D23" s="1">
        <v>20</v>
      </c>
      <c r="E23" s="2">
        <f>COUNTIF($B$2:B23, B23)</f>
        <v>1</v>
      </c>
      <c r="F23" s="3">
        <v>0</v>
      </c>
      <c r="G23" s="1">
        <v>0</v>
      </c>
      <c r="H23" s="1">
        <v>1</v>
      </c>
      <c r="I23" s="4">
        <f t="shared" si="0"/>
        <v>1</v>
      </c>
      <c r="L23" s="1">
        <v>1</v>
      </c>
      <c r="M23" s="1">
        <v>1</v>
      </c>
      <c r="N23" s="1">
        <v>1</v>
      </c>
      <c r="O23" t="s">
        <v>16</v>
      </c>
    </row>
    <row r="24" spans="1:15" ht="15" customHeight="1" x14ac:dyDescent="0.2">
      <c r="A24" s="7">
        <v>22</v>
      </c>
      <c r="B24" t="s">
        <v>47</v>
      </c>
      <c r="C24" t="s">
        <v>42</v>
      </c>
      <c r="D24" s="1">
        <v>18</v>
      </c>
      <c r="E24" s="2">
        <f>COUNTIF($B$2:B24, B24)</f>
        <v>1</v>
      </c>
      <c r="F24" s="3">
        <v>1</v>
      </c>
      <c r="I24" s="4">
        <f t="shared" si="0"/>
        <v>0</v>
      </c>
      <c r="O24" t="s">
        <v>48</v>
      </c>
    </row>
    <row r="25" spans="1:15" ht="15" customHeight="1" x14ac:dyDescent="0.2">
      <c r="A25" s="7">
        <v>23</v>
      </c>
      <c r="B25" t="s">
        <v>49</v>
      </c>
      <c r="C25" t="s">
        <v>42</v>
      </c>
      <c r="D25" s="1">
        <v>20</v>
      </c>
      <c r="E25" s="2">
        <f>COUNTIF($B$2:B25, B25)</f>
        <v>1</v>
      </c>
      <c r="F25" s="3">
        <v>0</v>
      </c>
      <c r="G25" s="1">
        <v>0</v>
      </c>
      <c r="H25" s="1">
        <v>1</v>
      </c>
      <c r="I25" s="4">
        <f t="shared" si="0"/>
        <v>1</v>
      </c>
      <c r="L25" s="1">
        <v>1</v>
      </c>
      <c r="M25" s="1">
        <v>1</v>
      </c>
      <c r="N25" s="1">
        <v>1</v>
      </c>
      <c r="O25" t="s">
        <v>44</v>
      </c>
    </row>
    <row r="26" spans="1:15" ht="15" customHeight="1" x14ac:dyDescent="0.2">
      <c r="A26" s="7">
        <v>24</v>
      </c>
      <c r="B26" t="s">
        <v>50</v>
      </c>
      <c r="C26" t="s">
        <v>42</v>
      </c>
      <c r="D26" s="1">
        <v>20</v>
      </c>
      <c r="E26" s="2">
        <f>COUNTIF($B$2:B26, B26)</f>
        <v>1</v>
      </c>
      <c r="F26" s="3">
        <v>0</v>
      </c>
      <c r="G26" s="1">
        <v>0</v>
      </c>
      <c r="H26" s="1">
        <v>0</v>
      </c>
      <c r="I26" s="4">
        <f t="shared" si="0"/>
        <v>0</v>
      </c>
      <c r="L26" s="1">
        <v>0</v>
      </c>
      <c r="M26" s="1">
        <v>0</v>
      </c>
      <c r="N26" s="1">
        <v>0</v>
      </c>
      <c r="O26" t="s">
        <v>21</v>
      </c>
    </row>
    <row r="27" spans="1:15" ht="15" customHeight="1" x14ac:dyDescent="0.2">
      <c r="A27" s="7">
        <v>25</v>
      </c>
      <c r="B27" t="s">
        <v>51</v>
      </c>
      <c r="C27" t="s">
        <v>42</v>
      </c>
      <c r="D27" s="1">
        <v>20</v>
      </c>
      <c r="E27" s="2">
        <f>COUNTIF($B$2:B27, B27)</f>
        <v>1</v>
      </c>
      <c r="F27" s="3">
        <v>0</v>
      </c>
      <c r="G27" s="1">
        <v>0</v>
      </c>
      <c r="H27" s="1">
        <v>0</v>
      </c>
      <c r="I27" s="4">
        <f t="shared" si="0"/>
        <v>0</v>
      </c>
      <c r="L27" s="1">
        <v>1</v>
      </c>
      <c r="M27" s="1">
        <v>1</v>
      </c>
      <c r="N27" s="1">
        <v>1</v>
      </c>
      <c r="O27" t="s">
        <v>52</v>
      </c>
    </row>
    <row r="28" spans="1:15" ht="15" customHeight="1" x14ac:dyDescent="0.2">
      <c r="A28" s="7">
        <v>26</v>
      </c>
      <c r="B28" t="s">
        <v>53</v>
      </c>
      <c r="C28" t="s">
        <v>42</v>
      </c>
      <c r="D28" s="1">
        <v>19</v>
      </c>
      <c r="E28" s="2">
        <f>COUNTIF($B$2:B28, B28)</f>
        <v>1</v>
      </c>
      <c r="F28" s="3">
        <v>0</v>
      </c>
      <c r="G28" s="1">
        <v>0</v>
      </c>
      <c r="H28" s="1">
        <v>0</v>
      </c>
      <c r="I28" s="4">
        <f t="shared" si="0"/>
        <v>0</v>
      </c>
      <c r="J28" s="5" t="s">
        <v>54</v>
      </c>
      <c r="L28" s="1">
        <v>0</v>
      </c>
      <c r="M28" s="1">
        <v>0</v>
      </c>
      <c r="N28" s="1">
        <v>0</v>
      </c>
      <c r="O28" t="s">
        <v>55</v>
      </c>
    </row>
    <row r="29" spans="1:15" ht="15" customHeight="1" x14ac:dyDescent="0.2">
      <c r="A29" s="7">
        <v>27</v>
      </c>
      <c r="B29" t="s">
        <v>56</v>
      </c>
      <c r="C29" t="s">
        <v>42</v>
      </c>
      <c r="D29" s="1">
        <v>20</v>
      </c>
      <c r="E29" s="2">
        <f>COUNTIF($B$2:B29, B29)</f>
        <v>1</v>
      </c>
      <c r="F29" s="3">
        <v>0</v>
      </c>
      <c r="G29" s="1">
        <v>0</v>
      </c>
      <c r="H29" s="1">
        <v>0</v>
      </c>
      <c r="I29" s="4">
        <f t="shared" si="0"/>
        <v>0</v>
      </c>
      <c r="J29" s="5" t="s">
        <v>57</v>
      </c>
      <c r="L29" s="1">
        <v>1</v>
      </c>
      <c r="M29" s="1">
        <v>1</v>
      </c>
      <c r="N29" s="1">
        <v>1</v>
      </c>
      <c r="O29" t="s">
        <v>16</v>
      </c>
    </row>
    <row r="30" spans="1:15" ht="15" customHeight="1" x14ac:dyDescent="0.2">
      <c r="A30" s="7">
        <v>28</v>
      </c>
      <c r="B30" t="s">
        <v>58</v>
      </c>
      <c r="C30" t="s">
        <v>42</v>
      </c>
      <c r="D30" s="1">
        <v>20</v>
      </c>
      <c r="E30" s="2">
        <f>COUNTIF($B$2:B30, B30)</f>
        <v>1</v>
      </c>
      <c r="F30" s="3">
        <v>0</v>
      </c>
      <c r="G30" s="1">
        <v>0</v>
      </c>
      <c r="H30" s="1">
        <v>0</v>
      </c>
      <c r="I30" s="4">
        <f t="shared" si="0"/>
        <v>0</v>
      </c>
      <c r="L30" s="1">
        <v>0</v>
      </c>
      <c r="M30" s="1">
        <v>0</v>
      </c>
      <c r="N30" s="1">
        <v>0</v>
      </c>
      <c r="O30" t="s">
        <v>21</v>
      </c>
    </row>
    <row r="31" spans="1:15" ht="15" customHeight="1" x14ac:dyDescent="0.2">
      <c r="A31" s="7">
        <v>29</v>
      </c>
      <c r="B31" t="s">
        <v>59</v>
      </c>
      <c r="C31" t="s">
        <v>42</v>
      </c>
      <c r="D31" s="1">
        <v>19</v>
      </c>
      <c r="E31" s="2">
        <f>COUNTIF($B$2:B31, B31)</f>
        <v>1</v>
      </c>
      <c r="F31" s="3">
        <v>1</v>
      </c>
      <c r="G31" s="1">
        <v>0</v>
      </c>
      <c r="H31" s="1">
        <v>0</v>
      </c>
      <c r="I31" s="4">
        <f t="shared" si="0"/>
        <v>0</v>
      </c>
      <c r="L31" s="1">
        <v>0</v>
      </c>
      <c r="M31" s="1">
        <v>0</v>
      </c>
      <c r="N31" s="1">
        <v>0</v>
      </c>
      <c r="O31" t="s">
        <v>301</v>
      </c>
    </row>
    <row r="32" spans="1:15" ht="15" customHeight="1" x14ac:dyDescent="0.2">
      <c r="A32" s="7">
        <v>30</v>
      </c>
      <c r="B32" t="s">
        <v>61</v>
      </c>
      <c r="C32" t="s">
        <v>42</v>
      </c>
      <c r="D32" s="1">
        <v>20</v>
      </c>
      <c r="E32" s="2">
        <f>COUNTIF($B$2:B32, B32)</f>
        <v>1</v>
      </c>
      <c r="F32" s="3">
        <v>0</v>
      </c>
      <c r="G32" s="1">
        <v>0</v>
      </c>
      <c r="H32" s="1">
        <v>1</v>
      </c>
      <c r="I32" s="4">
        <f t="shared" si="0"/>
        <v>1</v>
      </c>
      <c r="L32" s="1">
        <v>1</v>
      </c>
      <c r="M32" s="1">
        <v>1</v>
      </c>
      <c r="N32" s="1">
        <v>1</v>
      </c>
      <c r="O32" t="s">
        <v>16</v>
      </c>
    </row>
    <row r="33" spans="1:16" ht="15" customHeight="1" x14ac:dyDescent="0.2">
      <c r="A33" s="7">
        <v>31</v>
      </c>
      <c r="B33" t="s">
        <v>62</v>
      </c>
      <c r="C33" t="s">
        <v>42</v>
      </c>
      <c r="D33" s="1">
        <v>20</v>
      </c>
      <c r="E33" s="2">
        <f>COUNTIF($B$2:B33, B33)</f>
        <v>1</v>
      </c>
      <c r="F33" s="3">
        <v>0</v>
      </c>
      <c r="G33" s="1">
        <v>0</v>
      </c>
      <c r="H33" s="1">
        <v>0</v>
      </c>
      <c r="I33" s="4">
        <f t="shared" si="0"/>
        <v>0</v>
      </c>
      <c r="J33" s="5" t="s">
        <v>63</v>
      </c>
      <c r="L33" s="1">
        <v>0</v>
      </c>
      <c r="M33" s="1">
        <v>0</v>
      </c>
      <c r="N33" s="1">
        <v>0</v>
      </c>
      <c r="O33" t="s">
        <v>21</v>
      </c>
    </row>
    <row r="34" spans="1:16" ht="15" customHeight="1" x14ac:dyDescent="0.2">
      <c r="A34" s="7">
        <v>32</v>
      </c>
      <c r="B34" t="s">
        <v>64</v>
      </c>
      <c r="C34" t="s">
        <v>42</v>
      </c>
      <c r="D34" s="1">
        <v>19</v>
      </c>
      <c r="E34" s="2">
        <f>COUNTIF($B$2:B34, B34)</f>
        <v>1</v>
      </c>
      <c r="F34" s="3">
        <v>0</v>
      </c>
      <c r="G34" s="1">
        <v>0</v>
      </c>
      <c r="H34" s="1">
        <v>0</v>
      </c>
      <c r="I34" s="4">
        <f t="shared" ref="I34:I65" si="1">SUM(G34:H34)</f>
        <v>0</v>
      </c>
      <c r="J34" s="5" t="s">
        <v>65</v>
      </c>
      <c r="O34" t="s">
        <v>60</v>
      </c>
    </row>
    <row r="35" spans="1:16" ht="15" customHeight="1" x14ac:dyDescent="0.2">
      <c r="A35" s="7">
        <v>33</v>
      </c>
      <c r="B35" s="15" t="s">
        <v>66</v>
      </c>
      <c r="C35" s="15" t="s">
        <v>67</v>
      </c>
      <c r="D35" s="1">
        <v>20</v>
      </c>
      <c r="E35" s="2">
        <f>COUNTIF($B$2:B35, B35)</f>
        <v>1</v>
      </c>
      <c r="F35" s="3">
        <v>0</v>
      </c>
      <c r="G35" s="1">
        <v>0</v>
      </c>
      <c r="H35" s="1">
        <v>0</v>
      </c>
      <c r="I35" s="4">
        <f t="shared" si="1"/>
        <v>0</v>
      </c>
      <c r="L35" s="1">
        <v>0</v>
      </c>
      <c r="M35" s="1">
        <v>0</v>
      </c>
      <c r="N35" s="1">
        <v>0</v>
      </c>
      <c r="O35" t="s">
        <v>68</v>
      </c>
    </row>
    <row r="36" spans="1:16" ht="15" customHeight="1" x14ac:dyDescent="0.2">
      <c r="A36" s="7">
        <v>34</v>
      </c>
      <c r="B36" t="s">
        <v>69</v>
      </c>
      <c r="C36" t="s">
        <v>70</v>
      </c>
      <c r="D36" s="1">
        <v>20</v>
      </c>
      <c r="E36" s="2">
        <f>COUNTIF($B$2:B36, B36)</f>
        <v>1</v>
      </c>
      <c r="F36" s="3">
        <v>0</v>
      </c>
      <c r="G36" s="1">
        <v>0</v>
      </c>
      <c r="H36" s="1">
        <v>1</v>
      </c>
      <c r="I36" s="4">
        <f t="shared" si="1"/>
        <v>1</v>
      </c>
      <c r="L36" s="1">
        <v>1</v>
      </c>
      <c r="M36" s="1">
        <v>1</v>
      </c>
      <c r="N36" s="1">
        <v>1</v>
      </c>
      <c r="O36" t="s">
        <v>16</v>
      </c>
    </row>
    <row r="37" spans="1:16" ht="15" customHeight="1" x14ac:dyDescent="0.2">
      <c r="A37" s="7">
        <v>35</v>
      </c>
      <c r="B37" t="s">
        <v>71</v>
      </c>
      <c r="C37" t="s">
        <v>72</v>
      </c>
      <c r="D37" s="1">
        <v>20</v>
      </c>
      <c r="E37" s="2">
        <f>COUNTIF($B$2:B37, B37)</f>
        <v>1</v>
      </c>
      <c r="F37" s="3">
        <v>0</v>
      </c>
      <c r="G37" s="1">
        <v>0</v>
      </c>
      <c r="H37" s="1">
        <v>1</v>
      </c>
      <c r="I37" s="4">
        <f t="shared" si="1"/>
        <v>1</v>
      </c>
      <c r="L37" s="1">
        <v>1</v>
      </c>
      <c r="M37" s="1">
        <v>1</v>
      </c>
      <c r="N37" s="1">
        <v>1</v>
      </c>
      <c r="O37" t="s">
        <v>16</v>
      </c>
    </row>
    <row r="38" spans="1:16" ht="15" customHeight="1" x14ac:dyDescent="0.2">
      <c r="A38" s="7">
        <v>36</v>
      </c>
      <c r="B38" s="15" t="s">
        <v>73</v>
      </c>
      <c r="C38" s="15" t="s">
        <v>72</v>
      </c>
      <c r="D38" s="1">
        <v>20</v>
      </c>
      <c r="E38" s="2">
        <f>COUNTIF($B$2:B38, B38)</f>
        <v>1</v>
      </c>
      <c r="F38" s="3">
        <v>0</v>
      </c>
      <c r="G38" s="1">
        <v>0</v>
      </c>
      <c r="H38" s="1">
        <v>1</v>
      </c>
      <c r="I38" s="4">
        <f t="shared" si="1"/>
        <v>1</v>
      </c>
      <c r="L38" s="1">
        <v>1</v>
      </c>
      <c r="M38" s="1">
        <v>1</v>
      </c>
      <c r="N38" s="1">
        <v>1</v>
      </c>
      <c r="O38" t="s">
        <v>16</v>
      </c>
    </row>
    <row r="39" spans="1:16" ht="15" customHeight="1" x14ac:dyDescent="0.2">
      <c r="A39" s="7">
        <v>37</v>
      </c>
      <c r="B39" s="15" t="s">
        <v>74</v>
      </c>
      <c r="C39" s="15" t="s">
        <v>72</v>
      </c>
      <c r="D39" s="1">
        <v>20</v>
      </c>
      <c r="E39" s="2">
        <f>COUNTIF($B$2:B39, B39)</f>
        <v>1</v>
      </c>
      <c r="F39" s="3">
        <v>0</v>
      </c>
      <c r="G39" s="1">
        <v>0</v>
      </c>
      <c r="H39" s="1">
        <v>1</v>
      </c>
      <c r="I39" s="4">
        <f t="shared" si="1"/>
        <v>1</v>
      </c>
      <c r="L39" s="1">
        <v>1</v>
      </c>
      <c r="M39" s="1">
        <v>1</v>
      </c>
      <c r="N39" s="1">
        <v>1</v>
      </c>
      <c r="O39" t="s">
        <v>16</v>
      </c>
    </row>
    <row r="40" spans="1:16" ht="15" customHeight="1" x14ac:dyDescent="0.2">
      <c r="A40" s="7">
        <v>38</v>
      </c>
      <c r="B40" t="s">
        <v>75</v>
      </c>
      <c r="C40" t="s">
        <v>72</v>
      </c>
      <c r="D40" s="1">
        <v>20</v>
      </c>
      <c r="E40" s="2">
        <f>COUNTIF($B$2:B40, B40)</f>
        <v>1</v>
      </c>
      <c r="F40" s="3">
        <v>0</v>
      </c>
      <c r="G40" s="1">
        <v>0</v>
      </c>
      <c r="H40" s="1">
        <v>0</v>
      </c>
      <c r="I40" s="4">
        <f t="shared" si="1"/>
        <v>0</v>
      </c>
      <c r="L40" s="1">
        <v>0</v>
      </c>
      <c r="M40" s="1">
        <v>0</v>
      </c>
      <c r="N40" s="1">
        <v>0</v>
      </c>
      <c r="O40" t="s">
        <v>21</v>
      </c>
    </row>
    <row r="41" spans="1:16" ht="15" customHeight="1" x14ac:dyDescent="0.2">
      <c r="A41" s="7">
        <v>39</v>
      </c>
      <c r="B41" s="15" t="s">
        <v>76</v>
      </c>
      <c r="C41" s="15" t="s">
        <v>72</v>
      </c>
      <c r="D41" s="1">
        <v>20</v>
      </c>
      <c r="E41" s="2">
        <f>COUNTIF($B$2:B41, B41)</f>
        <v>1</v>
      </c>
      <c r="F41" s="3">
        <v>0</v>
      </c>
      <c r="G41" s="1">
        <v>0</v>
      </c>
      <c r="H41" s="1">
        <v>0</v>
      </c>
      <c r="I41" s="4">
        <f t="shared" si="1"/>
        <v>0</v>
      </c>
      <c r="O41" t="s">
        <v>77</v>
      </c>
      <c r="P41" t="s">
        <v>54</v>
      </c>
    </row>
    <row r="42" spans="1:16" ht="15" customHeight="1" x14ac:dyDescent="0.2">
      <c r="A42" s="7">
        <v>40</v>
      </c>
      <c r="B42" t="s">
        <v>78</v>
      </c>
      <c r="C42" t="s">
        <v>72</v>
      </c>
      <c r="D42" s="1">
        <v>20</v>
      </c>
      <c r="E42" s="2">
        <f>COUNTIF($B$2:B42, B42)</f>
        <v>1</v>
      </c>
      <c r="F42" s="3">
        <v>0</v>
      </c>
      <c r="G42" s="1">
        <v>0</v>
      </c>
      <c r="H42" s="1">
        <v>0</v>
      </c>
      <c r="I42" s="4">
        <f t="shared" si="1"/>
        <v>0</v>
      </c>
      <c r="L42" s="1">
        <v>0</v>
      </c>
      <c r="M42" s="1">
        <v>0</v>
      </c>
      <c r="N42" s="1">
        <v>0</v>
      </c>
      <c r="O42" t="s">
        <v>21</v>
      </c>
    </row>
    <row r="43" spans="1:16" ht="15" customHeight="1" x14ac:dyDescent="0.2">
      <c r="A43" s="7">
        <v>41</v>
      </c>
      <c r="B43" t="s">
        <v>79</v>
      </c>
      <c r="C43" t="s">
        <v>72</v>
      </c>
      <c r="D43" s="1">
        <v>20</v>
      </c>
      <c r="E43" s="2">
        <f>COUNTIF($B$2:B43, B43)</f>
        <v>1</v>
      </c>
      <c r="F43" s="3">
        <v>0</v>
      </c>
      <c r="G43" s="1">
        <v>0</v>
      </c>
      <c r="H43" s="1">
        <v>0</v>
      </c>
      <c r="I43" s="4">
        <f t="shared" si="1"/>
        <v>0</v>
      </c>
      <c r="L43" s="1">
        <v>0</v>
      </c>
      <c r="M43" s="1">
        <v>0</v>
      </c>
      <c r="N43" s="1">
        <v>0</v>
      </c>
      <c r="O43" t="s">
        <v>21</v>
      </c>
    </row>
    <row r="44" spans="1:16" ht="15" customHeight="1" x14ac:dyDescent="0.2">
      <c r="A44" s="7">
        <v>42</v>
      </c>
      <c r="B44" t="s">
        <v>80</v>
      </c>
      <c r="C44" t="s">
        <v>72</v>
      </c>
      <c r="D44" s="1">
        <v>20</v>
      </c>
      <c r="E44" s="2">
        <f>COUNTIF($B$2:B44, B44)</f>
        <v>1</v>
      </c>
      <c r="F44" s="3">
        <v>0</v>
      </c>
      <c r="G44" s="1">
        <v>0</v>
      </c>
      <c r="H44" s="1">
        <v>1</v>
      </c>
      <c r="I44" s="4">
        <f t="shared" si="1"/>
        <v>1</v>
      </c>
      <c r="L44" s="1">
        <v>1</v>
      </c>
      <c r="M44" s="1">
        <v>1</v>
      </c>
      <c r="N44" s="1">
        <v>1</v>
      </c>
      <c r="O44" t="s">
        <v>81</v>
      </c>
    </row>
    <row r="45" spans="1:16" ht="15" customHeight="1" x14ac:dyDescent="0.2">
      <c r="A45" s="7">
        <v>43</v>
      </c>
      <c r="B45" t="s">
        <v>82</v>
      </c>
      <c r="C45" t="s">
        <v>72</v>
      </c>
      <c r="D45" s="1">
        <v>20</v>
      </c>
      <c r="E45" s="2">
        <f>COUNTIF($B$2:B45, B45)</f>
        <v>1</v>
      </c>
      <c r="F45" s="3">
        <v>0</v>
      </c>
      <c r="G45" s="1">
        <v>0</v>
      </c>
      <c r="H45" s="1">
        <v>0</v>
      </c>
      <c r="I45" s="4">
        <f t="shared" si="1"/>
        <v>0</v>
      </c>
      <c r="L45" s="1">
        <v>0</v>
      </c>
      <c r="M45" s="1">
        <v>0</v>
      </c>
      <c r="N45" s="1">
        <v>0</v>
      </c>
      <c r="O45" t="s">
        <v>21</v>
      </c>
    </row>
    <row r="46" spans="1:16" ht="15" customHeight="1" x14ac:dyDescent="0.2">
      <c r="A46" s="7">
        <v>44</v>
      </c>
      <c r="B46" t="s">
        <v>83</v>
      </c>
      <c r="C46" t="s">
        <v>72</v>
      </c>
      <c r="D46" s="1">
        <v>20</v>
      </c>
      <c r="E46" s="2">
        <f>COUNTIF($B$2:B46, B46)</f>
        <v>1</v>
      </c>
      <c r="F46" s="3">
        <v>0</v>
      </c>
      <c r="G46" s="1">
        <v>0</v>
      </c>
      <c r="H46" s="1">
        <v>1</v>
      </c>
      <c r="I46" s="4">
        <f t="shared" si="1"/>
        <v>1</v>
      </c>
      <c r="L46" s="1">
        <v>1</v>
      </c>
      <c r="M46" s="1">
        <v>1</v>
      </c>
      <c r="N46" s="1">
        <v>1</v>
      </c>
      <c r="O46" t="s">
        <v>16</v>
      </c>
    </row>
    <row r="47" spans="1:16" ht="15" customHeight="1" x14ac:dyDescent="0.2">
      <c r="A47" s="7">
        <v>45</v>
      </c>
      <c r="B47" t="s">
        <v>84</v>
      </c>
      <c r="C47" t="s">
        <v>72</v>
      </c>
      <c r="D47" s="1">
        <v>20</v>
      </c>
      <c r="E47" s="2">
        <f>COUNTIF($B$2:B47, B47)</f>
        <v>1</v>
      </c>
      <c r="F47" s="3">
        <v>0</v>
      </c>
      <c r="G47" s="1">
        <v>0</v>
      </c>
      <c r="H47" s="1">
        <v>0</v>
      </c>
      <c r="I47" s="4">
        <f t="shared" si="1"/>
        <v>0</v>
      </c>
      <c r="L47" s="1">
        <v>1</v>
      </c>
      <c r="M47" s="1">
        <v>0</v>
      </c>
      <c r="N47" s="1">
        <v>1</v>
      </c>
      <c r="O47" t="s">
        <v>85</v>
      </c>
    </row>
    <row r="48" spans="1:16" ht="15" customHeight="1" x14ac:dyDescent="0.2">
      <c r="A48" s="7">
        <v>46</v>
      </c>
      <c r="B48" t="s">
        <v>86</v>
      </c>
      <c r="C48" t="s">
        <v>72</v>
      </c>
      <c r="D48" s="1">
        <v>20</v>
      </c>
      <c r="E48" s="2">
        <f>COUNTIF($B$2:B48, B48)</f>
        <v>1</v>
      </c>
      <c r="F48" s="3">
        <v>0</v>
      </c>
      <c r="G48" s="1">
        <v>0</v>
      </c>
      <c r="H48" s="1">
        <v>1</v>
      </c>
      <c r="I48" s="4">
        <f t="shared" si="1"/>
        <v>1</v>
      </c>
      <c r="L48" s="1">
        <v>1</v>
      </c>
      <c r="M48" s="1">
        <v>1</v>
      </c>
      <c r="N48" s="1">
        <v>1</v>
      </c>
      <c r="O48" t="s">
        <v>16</v>
      </c>
    </row>
    <row r="49" spans="1:15" ht="15" customHeight="1" x14ac:dyDescent="0.2">
      <c r="A49" s="7">
        <v>47</v>
      </c>
      <c r="B49" t="s">
        <v>87</v>
      </c>
      <c r="C49" t="s">
        <v>72</v>
      </c>
      <c r="D49" s="1">
        <v>20</v>
      </c>
      <c r="E49" s="2">
        <f>COUNTIF($B$2:B49, B49)</f>
        <v>1</v>
      </c>
      <c r="F49" s="3">
        <v>0</v>
      </c>
      <c r="G49" s="1">
        <v>0</v>
      </c>
      <c r="H49" s="1">
        <v>1</v>
      </c>
      <c r="I49" s="4">
        <f t="shared" si="1"/>
        <v>1</v>
      </c>
      <c r="L49" s="1">
        <v>1</v>
      </c>
      <c r="M49" s="1">
        <v>1</v>
      </c>
      <c r="N49" s="1">
        <v>1</v>
      </c>
      <c r="O49" t="s">
        <v>44</v>
      </c>
    </row>
    <row r="50" spans="1:15" ht="15" customHeight="1" x14ac:dyDescent="0.2">
      <c r="A50" s="7">
        <v>48</v>
      </c>
      <c r="B50" t="s">
        <v>88</v>
      </c>
      <c r="C50" t="s">
        <v>72</v>
      </c>
      <c r="D50" s="1">
        <v>20</v>
      </c>
      <c r="E50" s="2">
        <f>COUNTIF($B$2:B50, B50)</f>
        <v>1</v>
      </c>
      <c r="F50" s="3">
        <v>0</v>
      </c>
      <c r="G50" s="1">
        <v>0</v>
      </c>
      <c r="H50" s="1">
        <v>1</v>
      </c>
      <c r="I50" s="4">
        <f t="shared" si="1"/>
        <v>1</v>
      </c>
      <c r="L50" s="1">
        <v>1</v>
      </c>
      <c r="M50" s="1">
        <v>1</v>
      </c>
      <c r="N50" s="1">
        <v>1</v>
      </c>
      <c r="O50" t="s">
        <v>81</v>
      </c>
    </row>
    <row r="51" spans="1:15" ht="15" customHeight="1" x14ac:dyDescent="0.2">
      <c r="A51" s="7">
        <v>49</v>
      </c>
      <c r="B51" t="s">
        <v>89</v>
      </c>
      <c r="C51" t="s">
        <v>72</v>
      </c>
      <c r="D51" s="1">
        <v>20</v>
      </c>
      <c r="E51" s="2">
        <f>COUNTIF($B$2:B51, B51)</f>
        <v>1</v>
      </c>
      <c r="F51" s="3">
        <v>0</v>
      </c>
      <c r="G51" s="1">
        <v>0</v>
      </c>
      <c r="H51" s="1">
        <v>1</v>
      </c>
      <c r="I51" s="4">
        <f t="shared" si="1"/>
        <v>1</v>
      </c>
      <c r="L51" s="1">
        <v>1</v>
      </c>
      <c r="M51" s="1">
        <v>1</v>
      </c>
      <c r="N51" s="1">
        <v>1</v>
      </c>
      <c r="O51" t="s">
        <v>16</v>
      </c>
    </row>
    <row r="52" spans="1:15" ht="15" customHeight="1" x14ac:dyDescent="0.2">
      <c r="A52" s="7">
        <v>50</v>
      </c>
      <c r="B52" t="s">
        <v>90</v>
      </c>
      <c r="C52" t="s">
        <v>72</v>
      </c>
      <c r="D52" s="1">
        <v>20</v>
      </c>
      <c r="E52" s="2">
        <f>COUNTIF($B$2:B52, B52)</f>
        <v>1</v>
      </c>
      <c r="F52" s="3">
        <v>0</v>
      </c>
      <c r="G52" s="1">
        <v>0</v>
      </c>
      <c r="H52" s="1">
        <v>1</v>
      </c>
      <c r="I52" s="4">
        <f t="shared" si="1"/>
        <v>1</v>
      </c>
      <c r="L52" s="1">
        <v>1</v>
      </c>
      <c r="M52" s="1">
        <v>1</v>
      </c>
      <c r="N52" s="1">
        <v>1</v>
      </c>
      <c r="O52" t="s">
        <v>44</v>
      </c>
    </row>
    <row r="53" spans="1:15" ht="15" customHeight="1" x14ac:dyDescent="0.2">
      <c r="A53" s="7">
        <v>51</v>
      </c>
      <c r="B53" t="s">
        <v>91</v>
      </c>
      <c r="C53" t="s">
        <v>72</v>
      </c>
      <c r="D53" s="1">
        <v>20</v>
      </c>
      <c r="E53" s="2">
        <f>COUNTIF($B$2:B53, B53)</f>
        <v>1</v>
      </c>
      <c r="F53" s="3">
        <v>0</v>
      </c>
      <c r="G53" s="1">
        <v>0</v>
      </c>
      <c r="H53" s="1">
        <v>0</v>
      </c>
      <c r="I53" s="4">
        <f t="shared" si="1"/>
        <v>0</v>
      </c>
      <c r="L53" s="1">
        <v>0</v>
      </c>
      <c r="M53" s="1">
        <v>0</v>
      </c>
      <c r="N53" s="1">
        <v>0</v>
      </c>
      <c r="O53" t="s">
        <v>92</v>
      </c>
    </row>
    <row r="54" spans="1:15" ht="15" customHeight="1" x14ac:dyDescent="0.2">
      <c r="A54" s="7">
        <v>52</v>
      </c>
      <c r="B54" t="s">
        <v>93</v>
      </c>
      <c r="C54" t="s">
        <v>72</v>
      </c>
      <c r="D54" s="1">
        <v>20</v>
      </c>
      <c r="E54" s="2">
        <f>COUNTIF($B$2:B54, B54)</f>
        <v>1</v>
      </c>
      <c r="F54" s="3">
        <v>0</v>
      </c>
      <c r="G54" s="1">
        <v>0</v>
      </c>
      <c r="H54" s="1">
        <v>0</v>
      </c>
      <c r="I54" s="4">
        <f t="shared" si="1"/>
        <v>0</v>
      </c>
      <c r="L54" s="1">
        <v>0</v>
      </c>
      <c r="M54" s="1">
        <v>0</v>
      </c>
      <c r="N54" s="1">
        <v>0</v>
      </c>
      <c r="O54" t="s">
        <v>21</v>
      </c>
    </row>
    <row r="55" spans="1:15" ht="15" customHeight="1" x14ac:dyDescent="0.2">
      <c r="A55" s="7">
        <v>53</v>
      </c>
      <c r="B55" t="s">
        <v>94</v>
      </c>
      <c r="C55" t="s">
        <v>72</v>
      </c>
      <c r="D55" s="1">
        <v>20</v>
      </c>
      <c r="E55" s="2">
        <f>COUNTIF($B$2:B55, B55)</f>
        <v>1</v>
      </c>
      <c r="F55" s="3">
        <v>0</v>
      </c>
      <c r="G55" s="1">
        <v>0</v>
      </c>
      <c r="H55" s="1">
        <v>0</v>
      </c>
      <c r="I55" s="4">
        <f t="shared" si="1"/>
        <v>0</v>
      </c>
      <c r="L55" s="1">
        <v>0</v>
      </c>
      <c r="M55" s="1">
        <v>0</v>
      </c>
      <c r="N55" s="1">
        <v>0</v>
      </c>
      <c r="O55" t="s">
        <v>21</v>
      </c>
    </row>
    <row r="56" spans="1:15" ht="15" customHeight="1" x14ac:dyDescent="0.2">
      <c r="A56" s="7">
        <v>54</v>
      </c>
      <c r="B56" t="s">
        <v>95</v>
      </c>
      <c r="C56" t="s">
        <v>72</v>
      </c>
      <c r="D56" s="1">
        <v>20</v>
      </c>
      <c r="E56" s="2">
        <f>COUNTIF($B$2:B56, B56)</f>
        <v>1</v>
      </c>
      <c r="F56" s="3">
        <v>0</v>
      </c>
      <c r="G56" s="1">
        <v>0</v>
      </c>
      <c r="H56" s="1">
        <v>0</v>
      </c>
      <c r="I56" s="4">
        <f t="shared" si="1"/>
        <v>0</v>
      </c>
      <c r="L56" s="1">
        <v>0</v>
      </c>
      <c r="M56" s="1">
        <v>0</v>
      </c>
      <c r="N56" s="1">
        <v>0</v>
      </c>
      <c r="O56" t="s">
        <v>21</v>
      </c>
    </row>
    <row r="57" spans="1:15" ht="15" customHeight="1" x14ac:dyDescent="0.2">
      <c r="A57" s="7">
        <v>55</v>
      </c>
      <c r="B57" t="s">
        <v>96</v>
      </c>
      <c r="C57" t="s">
        <v>72</v>
      </c>
      <c r="D57" s="1">
        <v>20</v>
      </c>
      <c r="E57" s="2">
        <f>COUNTIF($B$2:B57, B57)</f>
        <v>1</v>
      </c>
      <c r="F57" s="3">
        <v>0</v>
      </c>
      <c r="G57" s="1">
        <v>0</v>
      </c>
      <c r="H57" s="1">
        <v>0</v>
      </c>
      <c r="I57" s="4">
        <f t="shared" si="1"/>
        <v>0</v>
      </c>
      <c r="L57" s="1">
        <v>0</v>
      </c>
      <c r="M57" s="1">
        <v>0</v>
      </c>
      <c r="N57" s="1">
        <v>0</v>
      </c>
      <c r="O57" t="s">
        <v>21</v>
      </c>
    </row>
    <row r="58" spans="1:15" ht="15" customHeight="1" x14ac:dyDescent="0.2">
      <c r="A58" s="7">
        <v>56</v>
      </c>
      <c r="B58" t="s">
        <v>97</v>
      </c>
      <c r="C58" t="s">
        <v>72</v>
      </c>
      <c r="D58" s="1">
        <v>20</v>
      </c>
      <c r="E58" s="2">
        <f>COUNTIF($B$2:B58, B58)</f>
        <v>1</v>
      </c>
      <c r="F58" s="3">
        <v>0</v>
      </c>
      <c r="G58" s="1">
        <v>0</v>
      </c>
      <c r="H58" s="1">
        <v>0</v>
      </c>
      <c r="I58" s="4">
        <f t="shared" si="1"/>
        <v>0</v>
      </c>
      <c r="L58" s="1">
        <v>0</v>
      </c>
      <c r="M58" s="1">
        <v>0</v>
      </c>
      <c r="N58" s="1">
        <v>0</v>
      </c>
      <c r="O58" t="s">
        <v>21</v>
      </c>
    </row>
    <row r="59" spans="1:15" ht="15" customHeight="1" x14ac:dyDescent="0.2">
      <c r="A59" s="7">
        <v>57</v>
      </c>
      <c r="B59" t="s">
        <v>98</v>
      </c>
      <c r="C59" t="s">
        <v>72</v>
      </c>
      <c r="D59" s="1">
        <v>20</v>
      </c>
      <c r="E59" s="2">
        <f>COUNTIF($B$2:B59, B59)</f>
        <v>1</v>
      </c>
      <c r="F59" s="3">
        <v>0</v>
      </c>
      <c r="G59" s="1">
        <v>0</v>
      </c>
      <c r="H59" s="1">
        <v>0</v>
      </c>
      <c r="I59" s="4">
        <f t="shared" si="1"/>
        <v>0</v>
      </c>
      <c r="L59" s="1">
        <v>0</v>
      </c>
      <c r="M59" s="1">
        <v>0</v>
      </c>
      <c r="N59" s="1">
        <v>0</v>
      </c>
      <c r="O59" t="s">
        <v>21</v>
      </c>
    </row>
    <row r="60" spans="1:15" ht="15" customHeight="1" x14ac:dyDescent="0.2">
      <c r="A60" s="7">
        <v>58</v>
      </c>
      <c r="B60" t="s">
        <v>99</v>
      </c>
      <c r="C60" t="s">
        <v>72</v>
      </c>
      <c r="D60" s="1">
        <v>20</v>
      </c>
      <c r="E60" s="2">
        <f>COUNTIF($B$2:B60, B60)</f>
        <v>1</v>
      </c>
      <c r="F60" s="3">
        <v>0</v>
      </c>
      <c r="G60" s="1">
        <v>0</v>
      </c>
      <c r="H60" s="1">
        <v>1</v>
      </c>
      <c r="I60" s="4">
        <f t="shared" si="1"/>
        <v>1</v>
      </c>
      <c r="L60" s="1">
        <v>1</v>
      </c>
      <c r="M60" s="1">
        <v>1</v>
      </c>
      <c r="N60" s="1">
        <v>1</v>
      </c>
      <c r="O60" t="s">
        <v>24</v>
      </c>
    </row>
    <row r="61" spans="1:15" ht="15" customHeight="1" x14ac:dyDescent="0.2">
      <c r="A61" s="7">
        <v>59</v>
      </c>
      <c r="B61" t="s">
        <v>100</v>
      </c>
      <c r="C61" t="s">
        <v>72</v>
      </c>
      <c r="D61" s="1">
        <v>20</v>
      </c>
      <c r="E61" s="2">
        <f>COUNTIF($B$2:B61, B61)</f>
        <v>1</v>
      </c>
      <c r="F61" s="3">
        <v>0</v>
      </c>
      <c r="G61" s="1">
        <v>0</v>
      </c>
      <c r="H61" s="1">
        <v>1</v>
      </c>
      <c r="I61" s="4">
        <f t="shared" si="1"/>
        <v>1</v>
      </c>
      <c r="L61" s="1">
        <v>1</v>
      </c>
      <c r="M61" s="1">
        <v>1</v>
      </c>
      <c r="N61" s="1">
        <v>1</v>
      </c>
      <c r="O61" t="s">
        <v>16</v>
      </c>
    </row>
    <row r="62" spans="1:15" ht="15" customHeight="1" x14ac:dyDescent="0.2">
      <c r="A62" s="7">
        <v>60</v>
      </c>
      <c r="B62" t="s">
        <v>101</v>
      </c>
      <c r="C62" t="s">
        <v>72</v>
      </c>
      <c r="D62" s="1">
        <v>20</v>
      </c>
      <c r="E62" s="2">
        <f>COUNTIF($B$2:B62, B62)</f>
        <v>1</v>
      </c>
      <c r="F62" s="3">
        <v>0</v>
      </c>
      <c r="G62" s="1">
        <v>0</v>
      </c>
      <c r="H62" s="1">
        <v>1</v>
      </c>
      <c r="I62" s="4">
        <f t="shared" si="1"/>
        <v>1</v>
      </c>
      <c r="L62" s="1">
        <v>1</v>
      </c>
      <c r="M62" s="1">
        <v>1</v>
      </c>
      <c r="N62" s="1">
        <v>1</v>
      </c>
      <c r="O62" t="s">
        <v>16</v>
      </c>
    </row>
    <row r="63" spans="1:15" ht="15" customHeight="1" x14ac:dyDescent="0.2">
      <c r="A63" s="7">
        <v>61</v>
      </c>
      <c r="B63" t="s">
        <v>102</v>
      </c>
      <c r="C63" t="s">
        <v>72</v>
      </c>
      <c r="D63" s="1">
        <v>20</v>
      </c>
      <c r="E63" s="2">
        <f>COUNTIF($B$2:B63, B63)</f>
        <v>1</v>
      </c>
      <c r="F63" s="3">
        <v>0</v>
      </c>
      <c r="G63" s="1">
        <v>0</v>
      </c>
      <c r="H63" s="1">
        <v>0</v>
      </c>
      <c r="I63" s="4">
        <f t="shared" si="1"/>
        <v>0</v>
      </c>
      <c r="L63" s="1">
        <v>0</v>
      </c>
      <c r="M63" s="1">
        <v>0</v>
      </c>
      <c r="N63" s="1">
        <v>0</v>
      </c>
      <c r="O63" t="s">
        <v>21</v>
      </c>
    </row>
    <row r="64" spans="1:15" ht="15" customHeight="1" x14ac:dyDescent="0.2">
      <c r="A64" s="7">
        <v>62</v>
      </c>
      <c r="B64" s="15" t="s">
        <v>103</v>
      </c>
      <c r="C64" s="15" t="s">
        <v>72</v>
      </c>
      <c r="D64" s="1">
        <v>20</v>
      </c>
      <c r="E64" s="2">
        <f>COUNTIF($B$2:B64, B64)</f>
        <v>1</v>
      </c>
      <c r="F64" s="3">
        <v>1</v>
      </c>
      <c r="G64" s="1">
        <v>0</v>
      </c>
      <c r="H64" s="1">
        <v>0</v>
      </c>
      <c r="I64" s="4">
        <f t="shared" si="1"/>
        <v>0</v>
      </c>
      <c r="L64" s="1">
        <v>0</v>
      </c>
      <c r="M64" s="1">
        <v>0</v>
      </c>
      <c r="N64" s="1">
        <v>0</v>
      </c>
      <c r="O64" t="s">
        <v>104</v>
      </c>
    </row>
    <row r="65" spans="1:16" ht="15" customHeight="1" x14ac:dyDescent="0.2">
      <c r="A65" s="7">
        <v>63</v>
      </c>
      <c r="B65" t="s">
        <v>105</v>
      </c>
      <c r="C65" t="s">
        <v>72</v>
      </c>
      <c r="D65" s="1">
        <v>20</v>
      </c>
      <c r="E65" s="2">
        <f>COUNTIF($B$2:B65, B65)</f>
        <v>1</v>
      </c>
      <c r="F65" s="3">
        <v>0</v>
      </c>
      <c r="G65" s="1">
        <v>0</v>
      </c>
      <c r="H65" s="1">
        <v>0</v>
      </c>
      <c r="I65" s="4">
        <f t="shared" si="1"/>
        <v>0</v>
      </c>
      <c r="L65" s="1">
        <v>0</v>
      </c>
      <c r="M65" s="1">
        <v>0</v>
      </c>
      <c r="N65" s="1">
        <v>0</v>
      </c>
      <c r="O65" t="s">
        <v>106</v>
      </c>
    </row>
    <row r="66" spans="1:16" ht="15" customHeight="1" x14ac:dyDescent="0.2">
      <c r="A66" s="7">
        <v>64</v>
      </c>
      <c r="B66" t="s">
        <v>107</v>
      </c>
      <c r="C66" t="s">
        <v>72</v>
      </c>
      <c r="D66" s="1">
        <v>21</v>
      </c>
      <c r="E66" s="2">
        <f>COUNTIF($B$2:B66, B66)</f>
        <v>1</v>
      </c>
      <c r="F66" s="3">
        <v>0</v>
      </c>
      <c r="G66" s="1">
        <v>0</v>
      </c>
      <c r="H66" s="1">
        <v>0</v>
      </c>
      <c r="I66" s="4">
        <f t="shared" ref="I66:I97" si="2">SUM(G66:H66)</f>
        <v>0</v>
      </c>
      <c r="L66" s="1">
        <v>0</v>
      </c>
      <c r="M66" s="1">
        <v>0</v>
      </c>
      <c r="N66" s="1">
        <v>0</v>
      </c>
      <c r="O66" t="s">
        <v>21</v>
      </c>
    </row>
    <row r="67" spans="1:16" ht="15" customHeight="1" x14ac:dyDescent="0.2">
      <c r="A67" s="7">
        <v>65</v>
      </c>
      <c r="B67" s="15" t="s">
        <v>108</v>
      </c>
      <c r="C67" s="15" t="s">
        <v>72</v>
      </c>
      <c r="D67" s="1">
        <v>20</v>
      </c>
      <c r="E67" s="2">
        <f>COUNTIF($B$2:B67, B67)</f>
        <v>1</v>
      </c>
      <c r="F67" s="3">
        <v>0</v>
      </c>
      <c r="G67" s="1">
        <v>0</v>
      </c>
      <c r="H67" s="1">
        <v>0</v>
      </c>
      <c r="I67" s="4">
        <f t="shared" si="2"/>
        <v>0</v>
      </c>
      <c r="O67" t="s">
        <v>109</v>
      </c>
      <c r="P67" t="s">
        <v>63</v>
      </c>
    </row>
    <row r="68" spans="1:16" ht="15" customHeight="1" x14ac:dyDescent="0.2">
      <c r="A68" s="7">
        <v>66</v>
      </c>
      <c r="B68" t="s">
        <v>110</v>
      </c>
      <c r="C68" t="s">
        <v>72</v>
      </c>
      <c r="D68" s="1">
        <v>20</v>
      </c>
      <c r="E68" s="2">
        <f>COUNTIF($B$2:B68, B68)</f>
        <v>1</v>
      </c>
      <c r="F68" s="3">
        <v>0</v>
      </c>
      <c r="G68" s="1">
        <v>0</v>
      </c>
      <c r="H68" s="1">
        <v>1</v>
      </c>
      <c r="I68" s="4">
        <f t="shared" si="2"/>
        <v>1</v>
      </c>
      <c r="L68" s="1">
        <v>1</v>
      </c>
      <c r="M68" s="1">
        <v>0</v>
      </c>
      <c r="N68" s="1">
        <v>1</v>
      </c>
      <c r="O68" t="s">
        <v>111</v>
      </c>
    </row>
    <row r="69" spans="1:16" ht="15" customHeight="1" x14ac:dyDescent="0.2">
      <c r="A69" s="7">
        <v>67</v>
      </c>
      <c r="B69" t="s">
        <v>112</v>
      </c>
      <c r="C69" t="s">
        <v>113</v>
      </c>
      <c r="D69" s="1">
        <v>20</v>
      </c>
      <c r="E69" s="2">
        <f>COUNTIF($B$2:B69, B69)</f>
        <v>1</v>
      </c>
      <c r="F69" s="3">
        <v>0</v>
      </c>
      <c r="G69" s="1">
        <v>0</v>
      </c>
      <c r="H69" s="1">
        <v>0</v>
      </c>
      <c r="I69" s="4">
        <f t="shared" si="2"/>
        <v>0</v>
      </c>
      <c r="L69" s="1">
        <v>0</v>
      </c>
      <c r="M69" s="1">
        <v>0</v>
      </c>
      <c r="N69" s="1">
        <v>0</v>
      </c>
      <c r="O69" t="s">
        <v>21</v>
      </c>
    </row>
    <row r="70" spans="1:16" ht="15" customHeight="1" x14ac:dyDescent="0.2">
      <c r="A70" s="7">
        <v>68</v>
      </c>
      <c r="B70" t="s">
        <v>114</v>
      </c>
      <c r="C70" t="s">
        <v>113</v>
      </c>
      <c r="D70" s="1">
        <v>20</v>
      </c>
      <c r="E70" s="2">
        <f>COUNTIF($B$2:B70, B70)</f>
        <v>1</v>
      </c>
      <c r="F70" s="3">
        <v>0</v>
      </c>
      <c r="G70" s="1">
        <v>0</v>
      </c>
      <c r="H70" s="1">
        <v>0</v>
      </c>
      <c r="I70" s="4">
        <f t="shared" si="2"/>
        <v>0</v>
      </c>
      <c r="L70" s="1">
        <v>0</v>
      </c>
      <c r="M70" s="1">
        <v>0</v>
      </c>
      <c r="N70" s="1">
        <v>0</v>
      </c>
      <c r="O70" t="s">
        <v>21</v>
      </c>
    </row>
    <row r="71" spans="1:16" ht="15" customHeight="1" x14ac:dyDescent="0.2">
      <c r="A71" s="7">
        <v>69</v>
      </c>
      <c r="B71" t="s">
        <v>115</v>
      </c>
      <c r="C71" t="s">
        <v>113</v>
      </c>
      <c r="D71" s="1">
        <v>20</v>
      </c>
      <c r="E71" s="2">
        <f>COUNTIF($B$2:B71, B71)</f>
        <v>1</v>
      </c>
      <c r="F71" s="3">
        <v>0</v>
      </c>
      <c r="G71" s="1">
        <v>0</v>
      </c>
      <c r="H71" s="1">
        <v>0</v>
      </c>
      <c r="I71" s="4">
        <f t="shared" si="2"/>
        <v>0</v>
      </c>
      <c r="L71" s="1">
        <v>0</v>
      </c>
      <c r="M71" s="1">
        <v>0</v>
      </c>
      <c r="N71" s="1">
        <v>0</v>
      </c>
      <c r="O71" t="s">
        <v>21</v>
      </c>
    </row>
    <row r="72" spans="1:16" ht="15" customHeight="1" x14ac:dyDescent="0.2">
      <c r="A72" s="7">
        <v>70</v>
      </c>
      <c r="B72" t="s">
        <v>116</v>
      </c>
      <c r="C72" t="s">
        <v>113</v>
      </c>
      <c r="D72" s="1">
        <v>20</v>
      </c>
      <c r="E72" s="2">
        <f>COUNTIF($B$2:B72, B72)</f>
        <v>1</v>
      </c>
      <c r="F72" s="3">
        <v>0</v>
      </c>
      <c r="G72" s="1">
        <v>0</v>
      </c>
      <c r="H72" s="1">
        <v>1</v>
      </c>
      <c r="I72" s="4">
        <f t="shared" si="2"/>
        <v>1</v>
      </c>
      <c r="L72" s="1">
        <v>1</v>
      </c>
      <c r="M72" s="1">
        <v>1</v>
      </c>
      <c r="N72" s="1">
        <v>1</v>
      </c>
      <c r="O72" t="s">
        <v>16</v>
      </c>
    </row>
    <row r="73" spans="1:16" ht="15" customHeight="1" x14ac:dyDescent="0.2">
      <c r="A73" s="7">
        <v>71</v>
      </c>
      <c r="B73" t="s">
        <v>117</v>
      </c>
      <c r="C73" t="s">
        <v>113</v>
      </c>
      <c r="D73" s="1">
        <v>20</v>
      </c>
      <c r="E73" s="2">
        <f>COUNTIF($B$2:B73, B73)</f>
        <v>1</v>
      </c>
      <c r="F73" s="3">
        <v>0</v>
      </c>
      <c r="G73" s="1">
        <v>0</v>
      </c>
      <c r="H73" s="1">
        <v>1</v>
      </c>
      <c r="I73" s="4">
        <f t="shared" si="2"/>
        <v>1</v>
      </c>
      <c r="L73" s="1">
        <v>1</v>
      </c>
      <c r="M73" s="1">
        <v>1</v>
      </c>
      <c r="N73" s="1">
        <v>1</v>
      </c>
      <c r="O73" t="s">
        <v>44</v>
      </c>
    </row>
    <row r="74" spans="1:16" ht="15" customHeight="1" x14ac:dyDescent="0.2">
      <c r="A74" s="7">
        <v>72</v>
      </c>
      <c r="B74" t="s">
        <v>118</v>
      </c>
      <c r="C74" t="s">
        <v>113</v>
      </c>
      <c r="D74" s="1">
        <v>20</v>
      </c>
      <c r="E74" s="2">
        <f>COUNTIF($B$2:B74, B74)</f>
        <v>1</v>
      </c>
      <c r="F74" s="3">
        <v>0</v>
      </c>
      <c r="G74" s="1">
        <v>0</v>
      </c>
      <c r="H74" s="1">
        <v>1</v>
      </c>
      <c r="I74" s="4">
        <f t="shared" si="2"/>
        <v>1</v>
      </c>
      <c r="L74" s="1">
        <v>1</v>
      </c>
      <c r="M74" s="1">
        <v>1</v>
      </c>
      <c r="N74" s="1">
        <v>1</v>
      </c>
      <c r="O74" t="s">
        <v>44</v>
      </c>
    </row>
    <row r="75" spans="1:16" ht="15" customHeight="1" x14ac:dyDescent="0.2">
      <c r="A75" s="7">
        <v>73</v>
      </c>
      <c r="B75" t="s">
        <v>119</v>
      </c>
      <c r="C75" t="s">
        <v>113</v>
      </c>
      <c r="D75" s="1">
        <v>20</v>
      </c>
      <c r="E75" s="2">
        <f>COUNTIF($B$2:B75, B75)</f>
        <v>1</v>
      </c>
      <c r="F75" s="3">
        <v>0</v>
      </c>
      <c r="G75" s="1">
        <v>0</v>
      </c>
      <c r="H75" s="1">
        <v>0</v>
      </c>
      <c r="I75" s="4">
        <f t="shared" si="2"/>
        <v>0</v>
      </c>
      <c r="L75" s="1">
        <v>0</v>
      </c>
      <c r="M75" s="1">
        <v>0</v>
      </c>
      <c r="N75" s="1">
        <v>0</v>
      </c>
      <c r="O75" t="s">
        <v>21</v>
      </c>
    </row>
    <row r="76" spans="1:16" ht="15" customHeight="1" x14ac:dyDescent="0.2">
      <c r="A76" s="7">
        <v>74</v>
      </c>
      <c r="B76" t="s">
        <v>120</v>
      </c>
      <c r="C76" t="s">
        <v>113</v>
      </c>
      <c r="D76" s="1">
        <v>20</v>
      </c>
      <c r="E76" s="2">
        <f>COUNTIF($B$2:B76, B76)</f>
        <v>1</v>
      </c>
      <c r="F76" s="3">
        <v>0</v>
      </c>
      <c r="G76" s="1">
        <v>0</v>
      </c>
      <c r="H76" s="1">
        <v>0</v>
      </c>
      <c r="I76" s="4">
        <f t="shared" si="2"/>
        <v>0</v>
      </c>
      <c r="L76" s="1">
        <v>0</v>
      </c>
      <c r="M76" s="1">
        <v>0</v>
      </c>
      <c r="N76" s="1">
        <v>0</v>
      </c>
      <c r="O76" t="s">
        <v>21</v>
      </c>
    </row>
    <row r="77" spans="1:16" ht="15" customHeight="1" x14ac:dyDescent="0.2">
      <c r="A77" s="7">
        <v>75</v>
      </c>
      <c r="B77" t="s">
        <v>121</v>
      </c>
      <c r="C77" t="s">
        <v>113</v>
      </c>
      <c r="D77" s="1">
        <v>20</v>
      </c>
      <c r="E77" s="2">
        <f>COUNTIF($B$2:B77, B77)</f>
        <v>1</v>
      </c>
      <c r="F77" s="3">
        <v>0</v>
      </c>
      <c r="G77" s="1">
        <v>0</v>
      </c>
      <c r="H77" s="1">
        <v>1</v>
      </c>
      <c r="I77" s="4">
        <f t="shared" si="2"/>
        <v>1</v>
      </c>
      <c r="L77" s="1">
        <v>1</v>
      </c>
      <c r="M77" s="1">
        <v>1</v>
      </c>
      <c r="N77" s="1">
        <v>1</v>
      </c>
      <c r="O77" t="s">
        <v>44</v>
      </c>
    </row>
    <row r="78" spans="1:16" ht="15" customHeight="1" x14ac:dyDescent="0.2">
      <c r="A78" s="7">
        <v>76</v>
      </c>
      <c r="B78" t="s">
        <v>122</v>
      </c>
      <c r="C78" t="s">
        <v>113</v>
      </c>
      <c r="D78" s="1">
        <v>20</v>
      </c>
      <c r="E78" s="2">
        <f>COUNTIF($B$2:B78, B78)</f>
        <v>1</v>
      </c>
      <c r="F78" s="3">
        <v>0</v>
      </c>
      <c r="G78" s="1">
        <v>0</v>
      </c>
      <c r="H78" s="1">
        <v>0</v>
      </c>
      <c r="I78" s="4">
        <f t="shared" si="2"/>
        <v>0</v>
      </c>
      <c r="L78" s="1">
        <v>0</v>
      </c>
      <c r="M78" s="1">
        <v>0</v>
      </c>
      <c r="N78" s="1">
        <v>0</v>
      </c>
      <c r="O78" t="s">
        <v>21</v>
      </c>
    </row>
    <row r="79" spans="1:16" ht="15" customHeight="1" x14ac:dyDescent="0.2">
      <c r="A79" s="7">
        <v>77</v>
      </c>
      <c r="B79" t="s">
        <v>123</v>
      </c>
      <c r="C79" t="s">
        <v>113</v>
      </c>
      <c r="D79" s="1">
        <v>20</v>
      </c>
      <c r="E79" s="2">
        <f>COUNTIF($B$2:B79, B79)</f>
        <v>1</v>
      </c>
      <c r="F79" s="3">
        <v>0</v>
      </c>
      <c r="G79" s="1">
        <v>0</v>
      </c>
      <c r="H79" s="1">
        <v>1</v>
      </c>
      <c r="I79" s="4">
        <f t="shared" si="2"/>
        <v>1</v>
      </c>
      <c r="L79" s="1">
        <v>1</v>
      </c>
      <c r="M79" s="1">
        <v>1</v>
      </c>
      <c r="N79" s="1">
        <v>1</v>
      </c>
      <c r="O79" t="s">
        <v>44</v>
      </c>
    </row>
    <row r="80" spans="1:16" ht="15" customHeight="1" x14ac:dyDescent="0.2">
      <c r="A80" s="7">
        <v>78</v>
      </c>
      <c r="B80" t="s">
        <v>124</v>
      </c>
      <c r="C80" t="s">
        <v>113</v>
      </c>
      <c r="D80" s="1">
        <v>20</v>
      </c>
      <c r="E80" s="2">
        <f>COUNTIF($B$2:B80, B80)</f>
        <v>1</v>
      </c>
      <c r="F80" s="3">
        <v>0</v>
      </c>
      <c r="G80" s="1">
        <v>0</v>
      </c>
      <c r="H80" s="1">
        <v>0</v>
      </c>
      <c r="I80" s="4">
        <f t="shared" si="2"/>
        <v>0</v>
      </c>
      <c r="L80" s="1">
        <v>0</v>
      </c>
      <c r="M80" s="1">
        <v>0</v>
      </c>
      <c r="N80" s="1">
        <v>0</v>
      </c>
      <c r="O80" t="s">
        <v>21</v>
      </c>
    </row>
    <row r="81" spans="1:15" ht="15" customHeight="1" x14ac:dyDescent="0.2">
      <c r="A81" s="7">
        <v>79</v>
      </c>
      <c r="B81" t="s">
        <v>125</v>
      </c>
      <c r="C81" t="s">
        <v>113</v>
      </c>
      <c r="D81" s="1">
        <v>20</v>
      </c>
      <c r="E81" s="2">
        <f>COUNTIF($B$2:B81, B81)</f>
        <v>1</v>
      </c>
      <c r="F81" s="3">
        <v>0</v>
      </c>
      <c r="G81" s="1">
        <v>0</v>
      </c>
      <c r="H81" s="1">
        <v>0</v>
      </c>
      <c r="I81" s="4">
        <f t="shared" si="2"/>
        <v>0</v>
      </c>
      <c r="L81" s="1">
        <v>0</v>
      </c>
      <c r="M81" s="1">
        <v>0</v>
      </c>
      <c r="N81" s="1">
        <v>0</v>
      </c>
      <c r="O81" t="s">
        <v>21</v>
      </c>
    </row>
    <row r="82" spans="1:15" ht="15" customHeight="1" x14ac:dyDescent="0.2">
      <c r="A82" s="7">
        <v>80</v>
      </c>
      <c r="B82" t="s">
        <v>126</v>
      </c>
      <c r="C82" t="s">
        <v>113</v>
      </c>
      <c r="D82" s="1">
        <v>20</v>
      </c>
      <c r="E82" s="2">
        <f>COUNTIF($B$2:B82, B82)</f>
        <v>1</v>
      </c>
      <c r="F82" s="3">
        <v>0</v>
      </c>
      <c r="G82" s="1">
        <v>0</v>
      </c>
      <c r="H82" s="1">
        <v>0</v>
      </c>
      <c r="I82" s="4">
        <f t="shared" si="2"/>
        <v>0</v>
      </c>
      <c r="L82" s="1">
        <v>0</v>
      </c>
      <c r="M82" s="1">
        <v>0</v>
      </c>
      <c r="N82" s="1">
        <v>0</v>
      </c>
      <c r="O82" t="s">
        <v>127</v>
      </c>
    </row>
    <row r="83" spans="1:15" ht="15" customHeight="1" x14ac:dyDescent="0.2">
      <c r="A83" s="7">
        <v>81</v>
      </c>
      <c r="B83" t="s">
        <v>128</v>
      </c>
      <c r="C83" t="s">
        <v>113</v>
      </c>
      <c r="D83" s="1">
        <v>20</v>
      </c>
      <c r="E83" s="2">
        <f>COUNTIF($B$2:B83, B83)</f>
        <v>1</v>
      </c>
      <c r="F83" s="3">
        <v>0</v>
      </c>
      <c r="I83" s="4">
        <f t="shared" si="2"/>
        <v>0</v>
      </c>
      <c r="J83" s="5" t="s">
        <v>129</v>
      </c>
      <c r="L83" s="1">
        <v>0</v>
      </c>
      <c r="M83" s="1">
        <v>0</v>
      </c>
      <c r="N83" s="1">
        <v>0</v>
      </c>
      <c r="O83" t="s">
        <v>21</v>
      </c>
    </row>
    <row r="84" spans="1:15" ht="15" customHeight="1" x14ac:dyDescent="0.2">
      <c r="A84" s="7">
        <v>82</v>
      </c>
      <c r="B84" t="s">
        <v>130</v>
      </c>
      <c r="C84" t="s">
        <v>113</v>
      </c>
      <c r="D84" s="1">
        <v>20</v>
      </c>
      <c r="E84" s="2">
        <f>COUNTIF($B$2:B84, B84)</f>
        <v>1</v>
      </c>
      <c r="F84" s="3">
        <v>0</v>
      </c>
      <c r="G84" s="1">
        <v>0</v>
      </c>
      <c r="H84" s="1">
        <v>0</v>
      </c>
      <c r="I84" s="4">
        <f t="shared" si="2"/>
        <v>0</v>
      </c>
      <c r="L84" s="1">
        <v>0</v>
      </c>
      <c r="M84" s="1">
        <v>0</v>
      </c>
      <c r="N84" s="1">
        <v>0</v>
      </c>
      <c r="O84" t="s">
        <v>21</v>
      </c>
    </row>
    <row r="85" spans="1:15" ht="15" customHeight="1" x14ac:dyDescent="0.2">
      <c r="A85" s="7">
        <v>83</v>
      </c>
      <c r="B85" t="s">
        <v>131</v>
      </c>
      <c r="C85" t="s">
        <v>113</v>
      </c>
      <c r="D85" s="1">
        <v>20</v>
      </c>
      <c r="E85" s="2">
        <f>COUNTIF($B$2:B85, B85)</f>
        <v>1</v>
      </c>
      <c r="F85" s="3">
        <v>0</v>
      </c>
      <c r="G85" s="1">
        <v>0</v>
      </c>
      <c r="H85" s="1">
        <v>1</v>
      </c>
      <c r="I85" s="4">
        <f t="shared" si="2"/>
        <v>1</v>
      </c>
      <c r="L85" s="1">
        <v>1</v>
      </c>
      <c r="M85" s="1">
        <v>1</v>
      </c>
      <c r="N85" s="1">
        <v>1</v>
      </c>
      <c r="O85" t="s">
        <v>44</v>
      </c>
    </row>
    <row r="86" spans="1:15" ht="15" customHeight="1" x14ac:dyDescent="0.2">
      <c r="A86" s="7">
        <v>84</v>
      </c>
      <c r="B86" t="s">
        <v>132</v>
      </c>
      <c r="C86" t="s">
        <v>113</v>
      </c>
      <c r="D86" s="1">
        <v>20</v>
      </c>
      <c r="E86" s="2">
        <f>COUNTIF($B$2:B86, B86)</f>
        <v>1</v>
      </c>
      <c r="F86" s="3">
        <v>0</v>
      </c>
      <c r="G86" s="1">
        <v>0</v>
      </c>
      <c r="H86" s="1">
        <v>1</v>
      </c>
      <c r="I86" s="4">
        <f t="shared" si="2"/>
        <v>1</v>
      </c>
      <c r="L86" s="1">
        <v>1</v>
      </c>
      <c r="M86" s="1">
        <v>0</v>
      </c>
      <c r="N86" s="1">
        <v>1</v>
      </c>
      <c r="O86" t="s">
        <v>111</v>
      </c>
    </row>
    <row r="87" spans="1:15" ht="15" customHeight="1" x14ac:dyDescent="0.2">
      <c r="A87" s="7">
        <v>85</v>
      </c>
      <c r="B87" t="s">
        <v>133</v>
      </c>
      <c r="C87" t="s">
        <v>134</v>
      </c>
      <c r="D87" s="1">
        <v>20</v>
      </c>
      <c r="E87" s="2">
        <f>COUNTIF($B$2:B87, B87)</f>
        <v>1</v>
      </c>
      <c r="F87" s="3">
        <v>0</v>
      </c>
      <c r="G87" s="1">
        <v>0</v>
      </c>
      <c r="H87" s="1">
        <v>0</v>
      </c>
      <c r="I87" s="4">
        <f t="shared" si="2"/>
        <v>0</v>
      </c>
      <c r="K87" s="6" t="s">
        <v>303</v>
      </c>
      <c r="L87" s="1">
        <v>0</v>
      </c>
      <c r="M87" s="1">
        <v>0</v>
      </c>
      <c r="N87" s="1">
        <v>0</v>
      </c>
      <c r="O87" t="s">
        <v>68</v>
      </c>
    </row>
    <row r="88" spans="1:15" ht="15" customHeight="1" x14ac:dyDescent="0.2">
      <c r="A88" s="7">
        <v>86</v>
      </c>
      <c r="B88" t="s">
        <v>135</v>
      </c>
      <c r="C88" t="s">
        <v>134</v>
      </c>
      <c r="D88" s="1">
        <v>20</v>
      </c>
      <c r="E88" s="2">
        <f>COUNTIF($B$2:B88, B88)</f>
        <v>1</v>
      </c>
      <c r="F88" s="3">
        <v>0</v>
      </c>
      <c r="G88" s="1">
        <v>0</v>
      </c>
      <c r="H88" s="1">
        <v>1</v>
      </c>
      <c r="I88" s="4">
        <f t="shared" si="2"/>
        <v>1</v>
      </c>
      <c r="K88" s="6" t="s">
        <v>304</v>
      </c>
      <c r="L88" s="1">
        <v>1</v>
      </c>
      <c r="M88" s="1">
        <v>1</v>
      </c>
      <c r="N88" s="1">
        <v>1</v>
      </c>
      <c r="O88" t="s">
        <v>16</v>
      </c>
    </row>
    <row r="89" spans="1:15" ht="15" customHeight="1" x14ac:dyDescent="0.2">
      <c r="A89" s="7">
        <v>87</v>
      </c>
      <c r="B89" t="s">
        <v>136</v>
      </c>
      <c r="C89" t="s">
        <v>134</v>
      </c>
      <c r="D89" s="1">
        <v>20</v>
      </c>
      <c r="E89" s="2">
        <f>COUNTIF($B$2:B89, B89)</f>
        <v>1</v>
      </c>
      <c r="F89" s="3">
        <v>0</v>
      </c>
      <c r="G89" s="1">
        <v>0</v>
      </c>
      <c r="H89" s="1">
        <v>1</v>
      </c>
      <c r="I89" s="4">
        <f t="shared" si="2"/>
        <v>1</v>
      </c>
      <c r="L89" s="1">
        <v>1</v>
      </c>
      <c r="M89" s="1">
        <v>1</v>
      </c>
      <c r="N89" s="1">
        <v>1</v>
      </c>
      <c r="O89" t="s">
        <v>16</v>
      </c>
    </row>
    <row r="90" spans="1:15" ht="15" customHeight="1" x14ac:dyDescent="0.2">
      <c r="A90" s="7">
        <v>88</v>
      </c>
      <c r="B90" s="15" t="s">
        <v>137</v>
      </c>
      <c r="C90" s="15" t="s">
        <v>134</v>
      </c>
      <c r="D90" s="1">
        <v>20</v>
      </c>
      <c r="E90" s="2">
        <f>COUNTIF($B$2:B90, B90)</f>
        <v>1</v>
      </c>
      <c r="F90" s="3">
        <v>0</v>
      </c>
      <c r="G90" s="1">
        <v>0</v>
      </c>
      <c r="H90" s="1">
        <v>0</v>
      </c>
      <c r="I90" s="4">
        <f t="shared" si="2"/>
        <v>0</v>
      </c>
      <c r="L90" s="1">
        <v>0</v>
      </c>
      <c r="M90" s="1">
        <v>0</v>
      </c>
      <c r="N90" s="1">
        <v>0</v>
      </c>
      <c r="O90" t="s">
        <v>138</v>
      </c>
    </row>
    <row r="91" spans="1:15" ht="15" customHeight="1" x14ac:dyDescent="0.2">
      <c r="A91" s="7">
        <v>89</v>
      </c>
      <c r="B91" t="s">
        <v>139</v>
      </c>
      <c r="C91" t="s">
        <v>134</v>
      </c>
      <c r="D91" s="1">
        <v>20</v>
      </c>
      <c r="E91" s="2">
        <f>COUNTIF($B$2:B91, B91)</f>
        <v>1</v>
      </c>
      <c r="F91" s="3">
        <v>0</v>
      </c>
      <c r="G91" s="1">
        <v>0</v>
      </c>
      <c r="H91" s="1">
        <v>1</v>
      </c>
      <c r="I91" s="4">
        <f t="shared" si="2"/>
        <v>1</v>
      </c>
      <c r="L91" s="1">
        <v>1</v>
      </c>
      <c r="M91" s="1">
        <v>1</v>
      </c>
      <c r="N91" s="1">
        <v>1</v>
      </c>
      <c r="O91" t="s">
        <v>16</v>
      </c>
    </row>
    <row r="92" spans="1:15" ht="15" customHeight="1" x14ac:dyDescent="0.2">
      <c r="A92" s="7">
        <v>90</v>
      </c>
      <c r="B92" t="s">
        <v>140</v>
      </c>
      <c r="C92" t="s">
        <v>134</v>
      </c>
      <c r="D92" s="1">
        <v>20</v>
      </c>
      <c r="E92" s="2">
        <f>COUNTIF($B$2:B92, B92)</f>
        <v>1</v>
      </c>
      <c r="F92" s="3">
        <v>0</v>
      </c>
      <c r="I92" s="4">
        <f t="shared" si="2"/>
        <v>0</v>
      </c>
      <c r="J92" s="5" t="s">
        <v>57</v>
      </c>
      <c r="L92" s="1">
        <v>1</v>
      </c>
      <c r="M92" s="1">
        <v>1</v>
      </c>
      <c r="N92" s="1">
        <v>1</v>
      </c>
      <c r="O92" t="s">
        <v>16</v>
      </c>
    </row>
    <row r="93" spans="1:15" ht="15" customHeight="1" x14ac:dyDescent="0.2">
      <c r="A93" s="7">
        <v>91</v>
      </c>
      <c r="B93" t="s">
        <v>141</v>
      </c>
      <c r="C93" t="s">
        <v>134</v>
      </c>
      <c r="D93" s="1">
        <v>20</v>
      </c>
      <c r="E93" s="2">
        <f>COUNTIF($B$2:B93, B93)</f>
        <v>1</v>
      </c>
      <c r="F93" s="3">
        <v>0</v>
      </c>
      <c r="G93" s="1">
        <v>0</v>
      </c>
      <c r="H93" s="1">
        <v>0</v>
      </c>
      <c r="I93" s="4">
        <f t="shared" si="2"/>
        <v>0</v>
      </c>
      <c r="L93" s="1">
        <v>0</v>
      </c>
      <c r="M93" s="1">
        <v>0</v>
      </c>
      <c r="N93" s="1">
        <v>0</v>
      </c>
      <c r="O93" t="s">
        <v>21</v>
      </c>
    </row>
    <row r="94" spans="1:15" ht="15" customHeight="1" x14ac:dyDescent="0.2">
      <c r="A94" s="7">
        <v>92</v>
      </c>
      <c r="B94" t="s">
        <v>142</v>
      </c>
      <c r="C94" t="s">
        <v>134</v>
      </c>
      <c r="D94" s="1">
        <v>20</v>
      </c>
      <c r="E94" s="2">
        <f>COUNTIF($B$2:B94, B94)</f>
        <v>1</v>
      </c>
      <c r="F94" s="3">
        <v>0</v>
      </c>
      <c r="G94" s="1">
        <v>0</v>
      </c>
      <c r="H94" s="1">
        <v>1</v>
      </c>
      <c r="I94" s="4">
        <f t="shared" si="2"/>
        <v>1</v>
      </c>
      <c r="L94" s="1">
        <v>1</v>
      </c>
      <c r="M94" s="1">
        <v>1</v>
      </c>
      <c r="N94" s="1">
        <v>1</v>
      </c>
      <c r="O94" t="s">
        <v>16</v>
      </c>
    </row>
    <row r="95" spans="1:15" ht="15" customHeight="1" x14ac:dyDescent="0.2">
      <c r="A95" s="7">
        <v>93</v>
      </c>
      <c r="B95" t="s">
        <v>143</v>
      </c>
      <c r="C95" t="s">
        <v>134</v>
      </c>
      <c r="D95" s="1">
        <v>19</v>
      </c>
      <c r="E95" s="2">
        <f>COUNTIF($B$2:B95, B95)</f>
        <v>1</v>
      </c>
      <c r="F95" s="3">
        <v>0</v>
      </c>
      <c r="I95" s="4">
        <f t="shared" si="2"/>
        <v>0</v>
      </c>
      <c r="J95" s="5" t="s">
        <v>144</v>
      </c>
      <c r="L95" s="1">
        <v>0</v>
      </c>
      <c r="M95" s="1">
        <v>0</v>
      </c>
      <c r="N95" s="1">
        <v>0</v>
      </c>
      <c r="O95" t="s">
        <v>60</v>
      </c>
    </row>
    <row r="96" spans="1:15" ht="15" customHeight="1" x14ac:dyDescent="0.2">
      <c r="A96" s="7">
        <v>94</v>
      </c>
      <c r="B96" t="s">
        <v>145</v>
      </c>
      <c r="C96" t="s">
        <v>134</v>
      </c>
      <c r="D96" s="1">
        <v>20</v>
      </c>
      <c r="E96" s="2">
        <f>COUNTIF($B$2:B96, B96)</f>
        <v>1</v>
      </c>
      <c r="F96" s="3">
        <v>0</v>
      </c>
      <c r="G96" s="1">
        <v>0</v>
      </c>
      <c r="H96" s="1">
        <v>0</v>
      </c>
      <c r="I96" s="4">
        <f t="shared" si="2"/>
        <v>0</v>
      </c>
      <c r="L96" s="1">
        <v>0</v>
      </c>
      <c r="M96" s="1">
        <v>0</v>
      </c>
      <c r="N96" s="1">
        <v>0</v>
      </c>
      <c r="O96" t="s">
        <v>21</v>
      </c>
    </row>
    <row r="97" spans="1:15" ht="15" customHeight="1" x14ac:dyDescent="0.2">
      <c r="A97" s="7">
        <v>95</v>
      </c>
      <c r="B97" t="s">
        <v>146</v>
      </c>
      <c r="C97" t="s">
        <v>134</v>
      </c>
      <c r="D97" s="1">
        <v>20</v>
      </c>
      <c r="E97" s="2">
        <f>COUNTIF($B$2:B97, B97)</f>
        <v>1</v>
      </c>
      <c r="F97" s="3">
        <v>0</v>
      </c>
      <c r="G97" s="1">
        <v>0</v>
      </c>
      <c r="H97" s="1">
        <v>1</v>
      </c>
      <c r="I97" s="4">
        <f t="shared" si="2"/>
        <v>1</v>
      </c>
      <c r="L97" s="1">
        <v>1</v>
      </c>
      <c r="M97" s="1">
        <v>1</v>
      </c>
      <c r="N97" s="1">
        <v>1</v>
      </c>
      <c r="O97" t="s">
        <v>16</v>
      </c>
    </row>
    <row r="98" spans="1:15" ht="15" customHeight="1" x14ac:dyDescent="0.2">
      <c r="A98" s="7">
        <v>96</v>
      </c>
      <c r="B98" t="s">
        <v>147</v>
      </c>
      <c r="C98" t="s">
        <v>134</v>
      </c>
      <c r="D98" s="1">
        <v>20</v>
      </c>
      <c r="E98" s="2">
        <f>COUNTIF($B$2:B98, B98)</f>
        <v>1</v>
      </c>
      <c r="F98" s="3">
        <v>0</v>
      </c>
      <c r="I98" s="4">
        <f t="shared" ref="I98:I129" si="3">SUM(G98:H98)</f>
        <v>0</v>
      </c>
      <c r="J98" s="5" t="s">
        <v>148</v>
      </c>
      <c r="L98" s="1">
        <v>1</v>
      </c>
      <c r="M98" s="1">
        <v>1</v>
      </c>
      <c r="N98" s="1">
        <v>1</v>
      </c>
      <c r="O98" t="s">
        <v>16</v>
      </c>
    </row>
    <row r="99" spans="1:15" ht="15" customHeight="1" x14ac:dyDescent="0.2">
      <c r="A99" s="7">
        <v>97</v>
      </c>
      <c r="B99" t="s">
        <v>149</v>
      </c>
      <c r="C99" t="s">
        <v>134</v>
      </c>
      <c r="D99" s="1">
        <v>20</v>
      </c>
      <c r="E99" s="2">
        <f>COUNTIF($B$2:B99, B99)</f>
        <v>1</v>
      </c>
      <c r="F99" s="3">
        <v>0</v>
      </c>
      <c r="G99" s="1">
        <v>0</v>
      </c>
      <c r="H99" s="1">
        <v>0</v>
      </c>
      <c r="I99" s="4">
        <f t="shared" si="3"/>
        <v>0</v>
      </c>
      <c r="L99" s="1">
        <v>0</v>
      </c>
      <c r="M99" s="1">
        <v>0</v>
      </c>
      <c r="N99" s="1">
        <v>0</v>
      </c>
      <c r="O99" t="s">
        <v>21</v>
      </c>
    </row>
    <row r="100" spans="1:15" ht="15" customHeight="1" x14ac:dyDescent="0.2">
      <c r="A100" s="7">
        <v>98</v>
      </c>
      <c r="B100" t="s">
        <v>150</v>
      </c>
      <c r="C100" t="s">
        <v>134</v>
      </c>
      <c r="D100" s="1">
        <v>20</v>
      </c>
      <c r="E100" s="2">
        <f>COUNTIF($B$2:B100, B100)</f>
        <v>1</v>
      </c>
      <c r="F100" s="3">
        <v>0</v>
      </c>
      <c r="G100" s="1">
        <v>0</v>
      </c>
      <c r="H100" s="1">
        <v>0</v>
      </c>
      <c r="I100" s="4">
        <f t="shared" si="3"/>
        <v>0</v>
      </c>
      <c r="L100" s="1">
        <v>0</v>
      </c>
      <c r="M100" s="1">
        <v>0</v>
      </c>
      <c r="N100" s="1">
        <v>0</v>
      </c>
      <c r="O100" t="s">
        <v>21</v>
      </c>
    </row>
    <row r="101" spans="1:15" ht="15" customHeight="1" x14ac:dyDescent="0.2">
      <c r="A101" s="7">
        <v>99</v>
      </c>
      <c r="B101" t="s">
        <v>151</v>
      </c>
      <c r="C101" t="s">
        <v>134</v>
      </c>
      <c r="D101" s="1">
        <v>20</v>
      </c>
      <c r="E101" s="2">
        <f>COUNTIF($B$2:B101, B101)</f>
        <v>1</v>
      </c>
      <c r="F101" s="3">
        <v>0</v>
      </c>
      <c r="G101" s="1">
        <v>0</v>
      </c>
      <c r="H101" s="1">
        <v>0</v>
      </c>
      <c r="I101" s="4">
        <f t="shared" si="3"/>
        <v>0</v>
      </c>
      <c r="L101" s="1">
        <v>0</v>
      </c>
      <c r="M101" s="1">
        <v>0</v>
      </c>
      <c r="N101" s="1">
        <v>0</v>
      </c>
      <c r="O101" t="s">
        <v>21</v>
      </c>
    </row>
    <row r="102" spans="1:15" ht="15" customHeight="1" x14ac:dyDescent="0.2">
      <c r="A102" s="7">
        <v>100</v>
      </c>
      <c r="B102" t="s">
        <v>152</v>
      </c>
      <c r="C102" t="s">
        <v>134</v>
      </c>
      <c r="D102" s="1">
        <v>20</v>
      </c>
      <c r="E102" s="2">
        <f>COUNTIF($B$2:B102, B102)</f>
        <v>1</v>
      </c>
      <c r="F102" s="3">
        <v>0</v>
      </c>
      <c r="G102" s="1">
        <v>0</v>
      </c>
      <c r="H102" s="1">
        <v>1</v>
      </c>
      <c r="I102" s="4">
        <f t="shared" si="3"/>
        <v>1</v>
      </c>
      <c r="L102" s="1">
        <v>1</v>
      </c>
      <c r="M102" s="1">
        <v>1</v>
      </c>
      <c r="N102" s="1">
        <v>1</v>
      </c>
      <c r="O102" t="s">
        <v>153</v>
      </c>
    </row>
    <row r="103" spans="1:15" ht="15" customHeight="1" x14ac:dyDescent="0.2">
      <c r="A103" s="7">
        <v>101</v>
      </c>
      <c r="B103" t="s">
        <v>154</v>
      </c>
      <c r="C103" t="s">
        <v>134</v>
      </c>
      <c r="D103" s="1">
        <v>20</v>
      </c>
      <c r="E103" s="2">
        <f>COUNTIF($B$2:B103, B103)</f>
        <v>1</v>
      </c>
      <c r="F103" s="3">
        <v>0</v>
      </c>
      <c r="G103" s="1">
        <v>0</v>
      </c>
      <c r="H103" s="1">
        <v>0</v>
      </c>
      <c r="I103" s="4">
        <f t="shared" si="3"/>
        <v>0</v>
      </c>
      <c r="L103" s="1">
        <v>0</v>
      </c>
      <c r="M103" s="1">
        <v>0</v>
      </c>
      <c r="N103" s="1">
        <v>0</v>
      </c>
      <c r="O103" t="s">
        <v>21</v>
      </c>
    </row>
    <row r="104" spans="1:15" ht="15" customHeight="1" x14ac:dyDescent="0.2">
      <c r="A104" s="7">
        <v>102</v>
      </c>
      <c r="B104" t="s">
        <v>155</v>
      </c>
      <c r="C104" t="s">
        <v>134</v>
      </c>
      <c r="D104" s="1">
        <v>20</v>
      </c>
      <c r="E104" s="2">
        <f>COUNTIF($B$2:B104, B104)</f>
        <v>1</v>
      </c>
      <c r="F104" s="3">
        <v>0</v>
      </c>
      <c r="I104" s="4">
        <f t="shared" si="3"/>
        <v>0</v>
      </c>
      <c r="J104" s="5" t="s">
        <v>148</v>
      </c>
      <c r="L104" s="1">
        <v>1</v>
      </c>
      <c r="M104" s="1">
        <v>1</v>
      </c>
      <c r="N104" s="1">
        <v>1</v>
      </c>
      <c r="O104" t="s">
        <v>16</v>
      </c>
    </row>
    <row r="105" spans="1:15" ht="15" customHeight="1" x14ac:dyDescent="0.2">
      <c r="A105" s="7">
        <v>103</v>
      </c>
      <c r="B105" t="s">
        <v>156</v>
      </c>
      <c r="C105" t="s">
        <v>134</v>
      </c>
      <c r="D105" s="1">
        <v>20</v>
      </c>
      <c r="E105" s="2">
        <f>COUNTIF($B$2:B105, B105)</f>
        <v>1</v>
      </c>
      <c r="F105" s="3">
        <v>0</v>
      </c>
      <c r="G105" s="1">
        <v>0</v>
      </c>
      <c r="H105" s="1">
        <v>1</v>
      </c>
      <c r="I105" s="4">
        <f t="shared" si="3"/>
        <v>1</v>
      </c>
      <c r="L105" s="1">
        <v>1</v>
      </c>
      <c r="M105" s="1">
        <v>1</v>
      </c>
      <c r="N105" s="1">
        <v>0</v>
      </c>
      <c r="O105" t="s">
        <v>31</v>
      </c>
    </row>
    <row r="106" spans="1:15" ht="15" customHeight="1" x14ac:dyDescent="0.2">
      <c r="A106" s="7">
        <v>104</v>
      </c>
      <c r="B106" t="s">
        <v>157</v>
      </c>
      <c r="C106" t="s">
        <v>134</v>
      </c>
      <c r="D106" s="1">
        <v>20</v>
      </c>
      <c r="E106" s="2">
        <f>COUNTIF($B$2:B106, B106)</f>
        <v>1</v>
      </c>
      <c r="F106" s="3">
        <v>0</v>
      </c>
      <c r="G106" s="1">
        <v>0</v>
      </c>
      <c r="H106" s="1">
        <v>0</v>
      </c>
      <c r="I106" s="4">
        <f t="shared" si="3"/>
        <v>0</v>
      </c>
      <c r="L106" s="1">
        <v>1</v>
      </c>
      <c r="M106" s="1">
        <v>1</v>
      </c>
      <c r="N106" s="1">
        <v>0</v>
      </c>
      <c r="O106" t="s">
        <v>158</v>
      </c>
    </row>
    <row r="107" spans="1:15" ht="15" customHeight="1" x14ac:dyDescent="0.2">
      <c r="A107" s="7">
        <v>105</v>
      </c>
      <c r="B107" t="s">
        <v>159</v>
      </c>
      <c r="C107" t="s">
        <v>134</v>
      </c>
      <c r="D107" s="1">
        <v>20</v>
      </c>
      <c r="E107" s="2">
        <f>COUNTIF($B$2:B107, B107)</f>
        <v>1</v>
      </c>
      <c r="F107" s="3">
        <v>0</v>
      </c>
      <c r="G107" s="1">
        <v>0</v>
      </c>
      <c r="H107" s="1">
        <v>1</v>
      </c>
      <c r="I107" s="4">
        <f t="shared" si="3"/>
        <v>1</v>
      </c>
      <c r="L107" s="1">
        <v>1</v>
      </c>
      <c r="M107" s="1">
        <v>1</v>
      </c>
      <c r="N107" s="1">
        <v>1</v>
      </c>
      <c r="O107" t="s">
        <v>16</v>
      </c>
    </row>
    <row r="108" spans="1:15" ht="15" customHeight="1" x14ac:dyDescent="0.2">
      <c r="A108" s="7">
        <v>106</v>
      </c>
      <c r="B108" t="s">
        <v>160</v>
      </c>
      <c r="C108" t="s">
        <v>134</v>
      </c>
      <c r="D108" s="1">
        <v>20</v>
      </c>
      <c r="E108" s="2">
        <f>COUNTIF($B$2:B108, B108)</f>
        <v>1</v>
      </c>
      <c r="F108" s="3">
        <v>0</v>
      </c>
      <c r="G108" s="1">
        <v>0</v>
      </c>
      <c r="H108" s="1">
        <v>0</v>
      </c>
      <c r="I108" s="4">
        <f t="shared" si="3"/>
        <v>0</v>
      </c>
      <c r="L108" s="1">
        <v>1</v>
      </c>
      <c r="M108" s="1">
        <v>0</v>
      </c>
      <c r="N108" s="1">
        <v>1</v>
      </c>
      <c r="O108" t="s">
        <v>161</v>
      </c>
    </row>
    <row r="109" spans="1:15" ht="15" customHeight="1" x14ac:dyDescent="0.2">
      <c r="A109" s="7">
        <v>107</v>
      </c>
      <c r="B109" t="s">
        <v>162</v>
      </c>
      <c r="C109" t="s">
        <v>134</v>
      </c>
      <c r="D109" s="1">
        <v>20</v>
      </c>
      <c r="E109" s="2">
        <f>COUNTIF($B$2:B109, B109)</f>
        <v>1</v>
      </c>
      <c r="F109" s="3">
        <v>0</v>
      </c>
      <c r="G109" s="1">
        <v>0</v>
      </c>
      <c r="H109" s="1">
        <v>1</v>
      </c>
      <c r="I109" s="4">
        <f t="shared" si="3"/>
        <v>1</v>
      </c>
      <c r="L109" s="1">
        <v>1</v>
      </c>
      <c r="M109" s="1">
        <v>1</v>
      </c>
      <c r="N109" s="1">
        <v>1</v>
      </c>
      <c r="O109" t="s">
        <v>16</v>
      </c>
    </row>
    <row r="110" spans="1:15" ht="15" customHeight="1" x14ac:dyDescent="0.2">
      <c r="A110" s="7">
        <v>108</v>
      </c>
      <c r="B110" t="s">
        <v>163</v>
      </c>
      <c r="C110" t="s">
        <v>134</v>
      </c>
      <c r="D110" s="1">
        <v>20</v>
      </c>
      <c r="E110" s="2">
        <f>COUNTIF($B$2:B110, B110)</f>
        <v>1</v>
      </c>
      <c r="F110" s="3">
        <v>0</v>
      </c>
      <c r="G110" s="1">
        <v>0</v>
      </c>
      <c r="H110" s="1">
        <v>1</v>
      </c>
      <c r="I110" s="4">
        <f t="shared" si="3"/>
        <v>1</v>
      </c>
      <c r="L110" s="1">
        <v>1</v>
      </c>
      <c r="M110" s="1">
        <v>0</v>
      </c>
      <c r="N110" s="1">
        <v>1</v>
      </c>
      <c r="O110" t="s">
        <v>164</v>
      </c>
    </row>
    <row r="111" spans="1:15" ht="15" customHeight="1" x14ac:dyDescent="0.2">
      <c r="A111" s="7">
        <v>109</v>
      </c>
      <c r="B111" t="s">
        <v>165</v>
      </c>
      <c r="C111" t="s">
        <v>134</v>
      </c>
      <c r="D111" s="1">
        <v>20</v>
      </c>
      <c r="E111" s="2">
        <f>COUNTIF($B$2:B111, B111)</f>
        <v>1</v>
      </c>
      <c r="F111" s="3">
        <v>0</v>
      </c>
      <c r="G111" s="1">
        <v>0</v>
      </c>
      <c r="H111" s="1">
        <v>0</v>
      </c>
      <c r="I111" s="4">
        <f t="shared" si="3"/>
        <v>0</v>
      </c>
      <c r="L111" s="1">
        <v>0</v>
      </c>
      <c r="M111" s="1">
        <v>0</v>
      </c>
      <c r="N111" s="1">
        <v>0</v>
      </c>
      <c r="O111" t="s">
        <v>21</v>
      </c>
    </row>
    <row r="112" spans="1:15" ht="15" customHeight="1" x14ac:dyDescent="0.2">
      <c r="A112" s="7">
        <v>110</v>
      </c>
      <c r="B112" t="s">
        <v>166</v>
      </c>
      <c r="C112" t="s">
        <v>134</v>
      </c>
      <c r="D112" s="1">
        <v>20</v>
      </c>
      <c r="E112" s="2">
        <f>COUNTIF($B$2:B112, B112)</f>
        <v>1</v>
      </c>
      <c r="F112" s="3">
        <v>0</v>
      </c>
      <c r="G112" s="1">
        <v>0</v>
      </c>
      <c r="H112" s="1">
        <v>1</v>
      </c>
      <c r="I112" s="4">
        <f t="shared" si="3"/>
        <v>1</v>
      </c>
      <c r="L112" s="1">
        <v>1</v>
      </c>
      <c r="M112" s="1">
        <v>1</v>
      </c>
      <c r="N112" s="1">
        <v>1</v>
      </c>
      <c r="O112" t="s">
        <v>16</v>
      </c>
    </row>
    <row r="113" spans="1:15" ht="15" customHeight="1" x14ac:dyDescent="0.2">
      <c r="A113" s="7">
        <v>111</v>
      </c>
      <c r="B113" t="s">
        <v>167</v>
      </c>
      <c r="C113" t="s">
        <v>134</v>
      </c>
      <c r="D113" s="1">
        <v>20</v>
      </c>
      <c r="E113" s="2">
        <f>COUNTIF($B$2:B113, B113)</f>
        <v>1</v>
      </c>
      <c r="F113" s="3">
        <v>0</v>
      </c>
      <c r="I113" s="4">
        <f t="shared" si="3"/>
        <v>0</v>
      </c>
      <c r="J113" s="5" t="s">
        <v>148</v>
      </c>
      <c r="L113" s="1">
        <v>1</v>
      </c>
      <c r="M113" s="1">
        <v>0</v>
      </c>
      <c r="N113" s="1">
        <v>1</v>
      </c>
      <c r="O113" t="s">
        <v>168</v>
      </c>
    </row>
    <row r="114" spans="1:15" ht="15" customHeight="1" x14ac:dyDescent="0.2">
      <c r="A114" s="7">
        <v>112</v>
      </c>
      <c r="B114" t="s">
        <v>169</v>
      </c>
      <c r="C114" t="s">
        <v>134</v>
      </c>
      <c r="D114" s="1">
        <v>19</v>
      </c>
      <c r="E114" s="2">
        <f>COUNTIF($B$2:B114, B114)</f>
        <v>1</v>
      </c>
      <c r="F114" s="3">
        <v>1</v>
      </c>
      <c r="G114" s="1">
        <v>1</v>
      </c>
      <c r="H114" s="1">
        <v>0</v>
      </c>
      <c r="I114" s="4">
        <f t="shared" si="3"/>
        <v>1</v>
      </c>
      <c r="L114" s="1">
        <v>0</v>
      </c>
      <c r="M114" s="1">
        <v>0</v>
      </c>
      <c r="N114" s="1">
        <v>0</v>
      </c>
      <c r="O114" t="s">
        <v>302</v>
      </c>
    </row>
    <row r="115" spans="1:15" ht="15" customHeight="1" x14ac:dyDescent="0.2">
      <c r="A115" s="7">
        <v>113</v>
      </c>
      <c r="B115" t="s">
        <v>170</v>
      </c>
      <c r="C115" t="s">
        <v>134</v>
      </c>
      <c r="D115" s="1">
        <v>20</v>
      </c>
      <c r="E115" s="2">
        <f>COUNTIF($B$2:B115, B115)</f>
        <v>1</v>
      </c>
      <c r="F115" s="3">
        <v>0</v>
      </c>
      <c r="G115" s="1">
        <v>0</v>
      </c>
      <c r="H115" s="1">
        <v>0</v>
      </c>
      <c r="I115" s="4">
        <f t="shared" si="3"/>
        <v>0</v>
      </c>
      <c r="L115" s="1">
        <v>0</v>
      </c>
      <c r="M115" s="1">
        <v>0</v>
      </c>
      <c r="N115" s="1">
        <v>0</v>
      </c>
      <c r="O115" t="s">
        <v>21</v>
      </c>
    </row>
    <row r="116" spans="1:15" ht="15" customHeight="1" x14ac:dyDescent="0.2">
      <c r="A116" s="7">
        <v>114</v>
      </c>
      <c r="B116" t="s">
        <v>171</v>
      </c>
      <c r="C116" t="s">
        <v>172</v>
      </c>
      <c r="D116" s="1">
        <v>20</v>
      </c>
      <c r="E116" s="2">
        <f>COUNTIF($B$2:B116, B116)</f>
        <v>1</v>
      </c>
      <c r="F116" s="3">
        <v>0</v>
      </c>
      <c r="G116" s="1">
        <v>0</v>
      </c>
      <c r="H116" s="1">
        <v>1</v>
      </c>
      <c r="I116" s="4">
        <f t="shared" si="3"/>
        <v>1</v>
      </c>
      <c r="L116" s="1">
        <v>1</v>
      </c>
      <c r="M116" s="1">
        <v>1</v>
      </c>
      <c r="N116" s="1">
        <v>1</v>
      </c>
      <c r="O116" t="s">
        <v>16</v>
      </c>
    </row>
    <row r="117" spans="1:15" ht="15" customHeight="1" x14ac:dyDescent="0.2">
      <c r="A117" s="7">
        <v>115</v>
      </c>
      <c r="B117" t="s">
        <v>173</v>
      </c>
      <c r="C117" t="s">
        <v>172</v>
      </c>
      <c r="D117" s="1">
        <v>20</v>
      </c>
      <c r="E117" s="2">
        <f>COUNTIF($B$2:B117, B117)</f>
        <v>1</v>
      </c>
      <c r="F117" s="3">
        <v>0</v>
      </c>
      <c r="G117" s="1">
        <v>0</v>
      </c>
      <c r="H117" s="1">
        <v>0</v>
      </c>
      <c r="I117" s="4">
        <f t="shared" si="3"/>
        <v>0</v>
      </c>
      <c r="L117" s="1">
        <v>0</v>
      </c>
      <c r="M117" s="1">
        <v>0</v>
      </c>
      <c r="N117" s="1">
        <v>0</v>
      </c>
      <c r="O117" t="s">
        <v>21</v>
      </c>
    </row>
    <row r="118" spans="1:15" ht="15" customHeight="1" x14ac:dyDescent="0.2">
      <c r="A118" s="7">
        <v>116</v>
      </c>
      <c r="B118" t="s">
        <v>174</v>
      </c>
      <c r="C118" t="s">
        <v>172</v>
      </c>
      <c r="D118" s="1">
        <v>20</v>
      </c>
      <c r="E118" s="2">
        <f>COUNTIF($B$2:B118, B118)</f>
        <v>1</v>
      </c>
      <c r="F118" s="3">
        <v>0</v>
      </c>
      <c r="G118" s="1">
        <v>0</v>
      </c>
      <c r="H118" s="1">
        <v>1</v>
      </c>
      <c r="I118" s="4">
        <f t="shared" si="3"/>
        <v>1</v>
      </c>
      <c r="L118" s="1">
        <v>1</v>
      </c>
      <c r="M118" s="1">
        <v>1</v>
      </c>
      <c r="N118" s="1">
        <v>1</v>
      </c>
      <c r="O118" t="s">
        <v>16</v>
      </c>
    </row>
    <row r="119" spans="1:15" ht="15" customHeight="1" x14ac:dyDescent="0.2">
      <c r="A119" s="7">
        <v>117</v>
      </c>
      <c r="B119" t="s">
        <v>175</v>
      </c>
      <c r="C119" t="s">
        <v>172</v>
      </c>
      <c r="D119" s="1">
        <v>20</v>
      </c>
      <c r="E119" s="2">
        <f>COUNTIF($B$2:B119, B119)</f>
        <v>1</v>
      </c>
      <c r="F119" s="3">
        <v>0</v>
      </c>
      <c r="G119" s="1">
        <v>0</v>
      </c>
      <c r="H119" s="1">
        <v>1</v>
      </c>
      <c r="I119" s="4">
        <f t="shared" si="3"/>
        <v>1</v>
      </c>
      <c r="L119" s="1">
        <v>1</v>
      </c>
      <c r="M119" s="1">
        <v>1</v>
      </c>
      <c r="N119" s="1">
        <v>0</v>
      </c>
      <c r="O119" t="s">
        <v>176</v>
      </c>
    </row>
    <row r="120" spans="1:15" ht="15" customHeight="1" x14ac:dyDescent="0.2">
      <c r="A120" s="7">
        <v>118</v>
      </c>
      <c r="B120" t="s">
        <v>177</v>
      </c>
      <c r="C120" t="s">
        <v>172</v>
      </c>
      <c r="D120" s="1">
        <v>24</v>
      </c>
      <c r="E120" s="2">
        <f>COUNTIF($B$2:B120, B120)</f>
        <v>1</v>
      </c>
      <c r="F120" s="3">
        <v>1</v>
      </c>
      <c r="G120" s="1">
        <v>0</v>
      </c>
      <c r="H120" s="1">
        <v>0</v>
      </c>
      <c r="I120" s="4">
        <f t="shared" si="3"/>
        <v>0</v>
      </c>
      <c r="O120" t="s">
        <v>178</v>
      </c>
    </row>
    <row r="121" spans="1:15" ht="15" customHeight="1" x14ac:dyDescent="0.2">
      <c r="A121" s="7">
        <v>119</v>
      </c>
      <c r="B121" t="s">
        <v>179</v>
      </c>
      <c r="C121" t="s">
        <v>172</v>
      </c>
      <c r="D121" s="1">
        <v>20</v>
      </c>
      <c r="E121" s="2">
        <f>COUNTIF($B$2:B121, B121)</f>
        <v>1</v>
      </c>
      <c r="F121" s="3">
        <v>0</v>
      </c>
      <c r="G121" s="1">
        <v>0</v>
      </c>
      <c r="H121" s="1">
        <v>1</v>
      </c>
      <c r="I121" s="4">
        <f t="shared" si="3"/>
        <v>1</v>
      </c>
      <c r="L121" s="1">
        <v>1</v>
      </c>
      <c r="M121" s="1">
        <v>1</v>
      </c>
      <c r="N121" s="1">
        <v>1</v>
      </c>
      <c r="O121" t="s">
        <v>16</v>
      </c>
    </row>
    <row r="122" spans="1:15" ht="15" customHeight="1" x14ac:dyDescent="0.2">
      <c r="A122" s="7">
        <v>120</v>
      </c>
      <c r="B122" t="s">
        <v>180</v>
      </c>
      <c r="C122" t="s">
        <v>172</v>
      </c>
      <c r="D122" s="1">
        <v>20</v>
      </c>
      <c r="E122" s="2">
        <f>COUNTIF($B$2:B122, B122)</f>
        <v>1</v>
      </c>
      <c r="F122" s="3">
        <v>0</v>
      </c>
      <c r="G122" s="1">
        <v>0</v>
      </c>
      <c r="H122" s="1">
        <v>1</v>
      </c>
      <c r="I122" s="4">
        <f t="shared" si="3"/>
        <v>1</v>
      </c>
      <c r="L122" s="1">
        <v>1</v>
      </c>
      <c r="M122" s="1">
        <v>1</v>
      </c>
      <c r="N122" s="1">
        <v>1</v>
      </c>
      <c r="O122" t="s">
        <v>16</v>
      </c>
    </row>
    <row r="123" spans="1:15" x14ac:dyDescent="0.2">
      <c r="A123" s="7">
        <v>121</v>
      </c>
      <c r="B123" t="s">
        <v>181</v>
      </c>
      <c r="C123" t="s">
        <v>172</v>
      </c>
      <c r="D123" s="1">
        <v>20</v>
      </c>
      <c r="E123" s="2">
        <f>COUNTIF($B$2:B123, B123)</f>
        <v>1</v>
      </c>
      <c r="F123" s="3">
        <v>0</v>
      </c>
      <c r="G123" s="1">
        <v>0</v>
      </c>
      <c r="H123" s="1">
        <v>0</v>
      </c>
      <c r="I123" s="4">
        <f t="shared" si="3"/>
        <v>0</v>
      </c>
      <c r="L123" s="1">
        <v>0</v>
      </c>
      <c r="M123" s="1">
        <v>0</v>
      </c>
      <c r="N123" s="1">
        <v>0</v>
      </c>
      <c r="O123" t="s">
        <v>182</v>
      </c>
    </row>
    <row r="124" spans="1:15" x14ac:dyDescent="0.2">
      <c r="A124" s="7">
        <v>122</v>
      </c>
      <c r="B124" t="s">
        <v>183</v>
      </c>
      <c r="C124" t="s">
        <v>172</v>
      </c>
      <c r="D124" s="1">
        <v>20</v>
      </c>
      <c r="E124" s="2">
        <f>COUNTIF($B$2:B124, B124)</f>
        <v>1</v>
      </c>
      <c r="F124" s="3">
        <v>0</v>
      </c>
      <c r="G124" s="1">
        <v>0</v>
      </c>
      <c r="H124" s="1">
        <v>1</v>
      </c>
      <c r="I124" s="4">
        <f t="shared" si="3"/>
        <v>1</v>
      </c>
      <c r="L124" s="1">
        <v>1</v>
      </c>
      <c r="M124" s="1">
        <v>1</v>
      </c>
      <c r="N124" s="1">
        <v>1</v>
      </c>
      <c r="O124" t="s">
        <v>184</v>
      </c>
    </row>
    <row r="125" spans="1:15" x14ac:dyDescent="0.2">
      <c r="A125" s="7">
        <v>123</v>
      </c>
      <c r="B125" t="s">
        <v>185</v>
      </c>
      <c r="C125" t="s">
        <v>172</v>
      </c>
      <c r="D125" s="1">
        <v>20</v>
      </c>
      <c r="E125" s="2">
        <f>COUNTIF($B$2:B125, B125)</f>
        <v>1</v>
      </c>
      <c r="F125" s="3">
        <v>0</v>
      </c>
      <c r="G125" s="1">
        <v>0</v>
      </c>
      <c r="H125" s="1">
        <v>0</v>
      </c>
      <c r="I125" s="4">
        <f t="shared" si="3"/>
        <v>0</v>
      </c>
      <c r="L125" s="1">
        <v>0</v>
      </c>
      <c r="M125" s="1">
        <v>0</v>
      </c>
      <c r="N125" s="1">
        <v>0</v>
      </c>
      <c r="O125" t="s">
        <v>21</v>
      </c>
    </row>
    <row r="126" spans="1:15" x14ac:dyDescent="0.2">
      <c r="A126" s="7">
        <v>124</v>
      </c>
      <c r="B126" t="s">
        <v>186</v>
      </c>
      <c r="C126" t="s">
        <v>172</v>
      </c>
      <c r="D126" s="1">
        <v>20</v>
      </c>
      <c r="E126" s="2">
        <f>COUNTIF($B$2:B126, B126)</f>
        <v>1</v>
      </c>
      <c r="F126" s="3">
        <v>0</v>
      </c>
      <c r="G126" s="1">
        <v>0</v>
      </c>
      <c r="H126" s="1">
        <v>0</v>
      </c>
      <c r="I126" s="4">
        <f t="shared" si="3"/>
        <v>0</v>
      </c>
      <c r="L126" s="1">
        <v>0</v>
      </c>
      <c r="M126" s="1">
        <v>0</v>
      </c>
      <c r="N126" s="1">
        <v>0</v>
      </c>
      <c r="O126" t="s">
        <v>21</v>
      </c>
    </row>
    <row r="127" spans="1:15" x14ac:dyDescent="0.2">
      <c r="A127" s="7">
        <v>125</v>
      </c>
      <c r="B127" t="s">
        <v>187</v>
      </c>
      <c r="C127" t="s">
        <v>172</v>
      </c>
      <c r="D127" s="1">
        <v>20</v>
      </c>
      <c r="E127" s="2">
        <f>COUNTIF($B$2:B127, B127)</f>
        <v>1</v>
      </c>
      <c r="F127" s="3">
        <v>0</v>
      </c>
      <c r="G127" s="1">
        <v>0</v>
      </c>
      <c r="H127" s="1">
        <v>0</v>
      </c>
      <c r="I127" s="4">
        <f t="shared" si="3"/>
        <v>0</v>
      </c>
      <c r="L127" s="1">
        <v>0</v>
      </c>
      <c r="M127" s="1">
        <v>0</v>
      </c>
      <c r="N127" s="1">
        <v>0</v>
      </c>
      <c r="O127" t="s">
        <v>21</v>
      </c>
    </row>
    <row r="128" spans="1:15" x14ac:dyDescent="0.2">
      <c r="A128" s="7">
        <v>126</v>
      </c>
      <c r="B128" s="15" t="s">
        <v>188</v>
      </c>
      <c r="C128" s="15" t="s">
        <v>172</v>
      </c>
      <c r="D128" s="1">
        <v>20</v>
      </c>
      <c r="E128" s="2">
        <f>COUNTIF($B$2:B128, B128)</f>
        <v>1</v>
      </c>
      <c r="F128" s="3">
        <v>0</v>
      </c>
      <c r="G128" s="1">
        <v>0</v>
      </c>
      <c r="H128" s="1">
        <v>0</v>
      </c>
      <c r="I128" s="4">
        <f t="shared" si="3"/>
        <v>0</v>
      </c>
      <c r="L128" s="1">
        <v>0</v>
      </c>
      <c r="M128" s="1">
        <v>0</v>
      </c>
      <c r="N128" s="1">
        <v>0</v>
      </c>
      <c r="O128" t="s">
        <v>189</v>
      </c>
    </row>
    <row r="129" spans="1:16" x14ac:dyDescent="0.2">
      <c r="A129" s="7">
        <v>127</v>
      </c>
      <c r="B129" t="s">
        <v>190</v>
      </c>
      <c r="C129" t="s">
        <v>172</v>
      </c>
      <c r="D129" s="1">
        <v>20</v>
      </c>
      <c r="E129" s="2">
        <f>COUNTIF($B$2:B129, B129)</f>
        <v>1</v>
      </c>
      <c r="F129" s="3">
        <v>0</v>
      </c>
      <c r="G129" s="1">
        <v>0</v>
      </c>
      <c r="H129" s="1">
        <v>0</v>
      </c>
      <c r="I129" s="4">
        <f t="shared" si="3"/>
        <v>0</v>
      </c>
      <c r="L129" s="1">
        <v>0</v>
      </c>
      <c r="M129" s="1">
        <v>0</v>
      </c>
      <c r="N129" s="1">
        <v>0</v>
      </c>
      <c r="O129" t="s">
        <v>21</v>
      </c>
    </row>
    <row r="130" spans="1:16" x14ac:dyDescent="0.2">
      <c r="A130" s="7">
        <v>128</v>
      </c>
      <c r="B130" t="s">
        <v>191</v>
      </c>
      <c r="C130" t="s">
        <v>172</v>
      </c>
      <c r="D130" s="1">
        <v>20</v>
      </c>
      <c r="E130" s="2">
        <f>COUNTIF($B$2:B130, B130)</f>
        <v>1</v>
      </c>
      <c r="F130" s="3">
        <v>0</v>
      </c>
      <c r="G130" s="1">
        <v>0</v>
      </c>
      <c r="H130" s="1">
        <v>0</v>
      </c>
      <c r="I130" s="4">
        <f t="shared" ref="I130:I161" si="4">SUM(G130:H130)</f>
        <v>0</v>
      </c>
      <c r="L130" s="1">
        <v>0</v>
      </c>
      <c r="M130" s="1">
        <v>0</v>
      </c>
      <c r="N130" s="1">
        <v>0</v>
      </c>
      <c r="O130" t="s">
        <v>192</v>
      </c>
    </row>
    <row r="131" spans="1:16" x14ac:dyDescent="0.2">
      <c r="A131" s="7">
        <v>129</v>
      </c>
      <c r="B131" s="15" t="s">
        <v>193</v>
      </c>
      <c r="C131" s="15" t="s">
        <v>172</v>
      </c>
      <c r="D131" s="1">
        <v>20</v>
      </c>
      <c r="E131" s="2">
        <f>COUNTIF($B$2:B131, B131)</f>
        <v>1</v>
      </c>
      <c r="F131" s="3">
        <v>0</v>
      </c>
      <c r="G131" s="1">
        <v>0</v>
      </c>
      <c r="H131" s="1">
        <v>0</v>
      </c>
      <c r="I131" s="4">
        <f t="shared" si="4"/>
        <v>0</v>
      </c>
      <c r="L131" s="1">
        <v>0</v>
      </c>
      <c r="M131" s="1">
        <v>0</v>
      </c>
      <c r="N131" s="1">
        <v>0</v>
      </c>
      <c r="O131" t="s">
        <v>189</v>
      </c>
      <c r="P131" t="s">
        <v>194</v>
      </c>
    </row>
    <row r="132" spans="1:16" x14ac:dyDescent="0.2">
      <c r="A132" s="7">
        <v>130</v>
      </c>
      <c r="B132" t="s">
        <v>195</v>
      </c>
      <c r="C132" t="s">
        <v>172</v>
      </c>
      <c r="D132" s="1">
        <v>20</v>
      </c>
      <c r="E132" s="2">
        <f>COUNTIF($B$2:B132, B132)</f>
        <v>1</v>
      </c>
      <c r="F132" s="3">
        <v>0</v>
      </c>
      <c r="I132" s="4">
        <f t="shared" si="4"/>
        <v>0</v>
      </c>
      <c r="J132" s="5" t="s">
        <v>196</v>
      </c>
      <c r="L132" s="1">
        <v>0</v>
      </c>
      <c r="M132" s="1">
        <v>0</v>
      </c>
      <c r="N132" s="1">
        <v>0</v>
      </c>
      <c r="O132" t="s">
        <v>21</v>
      </c>
    </row>
    <row r="133" spans="1:16" x14ac:dyDescent="0.2">
      <c r="A133" s="7">
        <v>131</v>
      </c>
      <c r="B133" t="s">
        <v>197</v>
      </c>
      <c r="C133" t="s">
        <v>172</v>
      </c>
      <c r="D133" s="1">
        <v>20</v>
      </c>
      <c r="E133" s="2">
        <f>COUNTIF($B$2:B133, B133)</f>
        <v>1</v>
      </c>
      <c r="F133" s="3">
        <v>0</v>
      </c>
      <c r="G133" s="1">
        <v>0</v>
      </c>
      <c r="H133" s="1">
        <v>1</v>
      </c>
      <c r="I133" s="4">
        <f t="shared" si="4"/>
        <v>1</v>
      </c>
      <c r="L133" s="1">
        <v>1</v>
      </c>
      <c r="M133" s="1">
        <v>1</v>
      </c>
      <c r="N133" s="1">
        <v>1</v>
      </c>
      <c r="O133" t="s">
        <v>16</v>
      </c>
    </row>
    <row r="134" spans="1:16" x14ac:dyDescent="0.2">
      <c r="A134" s="7">
        <v>132</v>
      </c>
      <c r="B134" t="s">
        <v>198</v>
      </c>
      <c r="C134" t="s">
        <v>172</v>
      </c>
      <c r="D134" s="1">
        <v>20</v>
      </c>
      <c r="E134" s="2">
        <f>COUNTIF($B$2:B134, B134)</f>
        <v>1</v>
      </c>
      <c r="F134" s="3">
        <v>0</v>
      </c>
      <c r="G134" s="1">
        <v>0</v>
      </c>
      <c r="H134" s="1">
        <v>0</v>
      </c>
      <c r="I134" s="4">
        <f t="shared" si="4"/>
        <v>0</v>
      </c>
      <c r="L134" s="1">
        <v>1</v>
      </c>
      <c r="M134" s="1">
        <v>1</v>
      </c>
      <c r="N134" s="1">
        <v>0</v>
      </c>
      <c r="O134" t="s">
        <v>199</v>
      </c>
    </row>
    <row r="135" spans="1:16" x14ac:dyDescent="0.2">
      <c r="A135" s="7">
        <v>133</v>
      </c>
      <c r="B135" t="s">
        <v>200</v>
      </c>
      <c r="C135" t="s">
        <v>172</v>
      </c>
      <c r="D135" s="1">
        <v>20</v>
      </c>
      <c r="E135" s="2">
        <f>COUNTIF($B$2:B135, B135)</f>
        <v>1</v>
      </c>
      <c r="F135" s="3">
        <v>0</v>
      </c>
      <c r="I135" s="4">
        <f t="shared" si="4"/>
        <v>0</v>
      </c>
      <c r="J135" s="5" t="s">
        <v>201</v>
      </c>
      <c r="L135" s="1">
        <v>0</v>
      </c>
      <c r="M135" s="1">
        <v>0</v>
      </c>
      <c r="N135" s="1">
        <v>0</v>
      </c>
      <c r="O135" t="s">
        <v>21</v>
      </c>
    </row>
    <row r="136" spans="1:16" x14ac:dyDescent="0.2">
      <c r="A136" s="7">
        <v>134</v>
      </c>
      <c r="B136" t="s">
        <v>202</v>
      </c>
      <c r="C136" t="s">
        <v>172</v>
      </c>
      <c r="D136" s="1">
        <v>20</v>
      </c>
      <c r="E136" s="2">
        <f>COUNTIF($B$2:B136, B136)</f>
        <v>1</v>
      </c>
      <c r="F136" s="3">
        <v>0</v>
      </c>
      <c r="G136" s="1">
        <v>0</v>
      </c>
      <c r="H136" s="1">
        <v>1</v>
      </c>
      <c r="I136" s="4">
        <f t="shared" si="4"/>
        <v>1</v>
      </c>
      <c r="L136" s="1">
        <v>1</v>
      </c>
      <c r="M136" s="1">
        <v>1</v>
      </c>
      <c r="N136" s="1">
        <v>1</v>
      </c>
      <c r="O136" t="s">
        <v>16</v>
      </c>
    </row>
    <row r="137" spans="1:16" x14ac:dyDescent="0.2">
      <c r="A137" s="7">
        <v>135</v>
      </c>
      <c r="B137" t="s">
        <v>203</v>
      </c>
      <c r="C137" t="s">
        <v>172</v>
      </c>
      <c r="D137" s="1">
        <v>20</v>
      </c>
      <c r="E137" s="2">
        <f>COUNTIF($B$2:B137, B137)</f>
        <v>1</v>
      </c>
      <c r="F137" s="3">
        <v>0</v>
      </c>
      <c r="G137" s="1">
        <v>0</v>
      </c>
      <c r="H137" s="1">
        <v>1</v>
      </c>
      <c r="I137" s="4">
        <f t="shared" si="4"/>
        <v>1</v>
      </c>
      <c r="L137" s="1">
        <v>1</v>
      </c>
      <c r="M137" s="1">
        <v>1</v>
      </c>
      <c r="N137" s="1">
        <v>1</v>
      </c>
      <c r="O137" t="s">
        <v>16</v>
      </c>
    </row>
    <row r="138" spans="1:16" x14ac:dyDescent="0.2">
      <c r="A138" s="7">
        <v>136</v>
      </c>
      <c r="B138" t="s">
        <v>204</v>
      </c>
      <c r="C138" t="s">
        <v>172</v>
      </c>
      <c r="D138" s="1">
        <v>20</v>
      </c>
      <c r="E138" s="2">
        <f>COUNTIF($B$2:B138, B138)</f>
        <v>1</v>
      </c>
      <c r="F138" s="3">
        <v>0</v>
      </c>
      <c r="G138" s="1">
        <v>0</v>
      </c>
      <c r="H138" s="1">
        <v>1</v>
      </c>
      <c r="I138" s="4">
        <f t="shared" si="4"/>
        <v>1</v>
      </c>
      <c r="L138" s="1">
        <v>1</v>
      </c>
      <c r="M138" s="1">
        <v>1</v>
      </c>
      <c r="N138" s="1">
        <v>1</v>
      </c>
      <c r="O138" t="s">
        <v>16</v>
      </c>
    </row>
    <row r="139" spans="1:16" x14ac:dyDescent="0.2">
      <c r="A139" s="7">
        <v>137</v>
      </c>
      <c r="B139" t="s">
        <v>205</v>
      </c>
      <c r="C139" t="s">
        <v>172</v>
      </c>
      <c r="D139" s="1">
        <v>20</v>
      </c>
      <c r="E139" s="2">
        <f>COUNTIF($B$2:B139, B139)</f>
        <v>1</v>
      </c>
      <c r="F139" s="3">
        <v>0</v>
      </c>
      <c r="G139" s="1">
        <v>0</v>
      </c>
      <c r="H139" s="1">
        <v>0</v>
      </c>
      <c r="I139" s="4">
        <f t="shared" si="4"/>
        <v>0</v>
      </c>
      <c r="L139" s="1">
        <v>0</v>
      </c>
      <c r="M139" s="1">
        <v>0</v>
      </c>
      <c r="N139" s="1">
        <v>0</v>
      </c>
      <c r="O139" t="s">
        <v>21</v>
      </c>
    </row>
    <row r="140" spans="1:16" x14ac:dyDescent="0.2">
      <c r="A140" s="7">
        <v>138</v>
      </c>
      <c r="B140" t="s">
        <v>206</v>
      </c>
      <c r="C140" t="s">
        <v>172</v>
      </c>
      <c r="D140" s="1">
        <v>20</v>
      </c>
      <c r="E140" s="2">
        <f>COUNTIF($B$2:B140, B140)</f>
        <v>1</v>
      </c>
      <c r="F140" s="3">
        <v>0</v>
      </c>
      <c r="G140" s="1">
        <v>0</v>
      </c>
      <c r="H140" s="1">
        <v>1</v>
      </c>
      <c r="I140" s="4">
        <f t="shared" si="4"/>
        <v>1</v>
      </c>
      <c r="L140" s="1">
        <v>1</v>
      </c>
      <c r="M140" s="1">
        <v>1</v>
      </c>
      <c r="N140" s="1">
        <v>1</v>
      </c>
      <c r="O140" t="s">
        <v>16</v>
      </c>
    </row>
    <row r="141" spans="1:16" x14ac:dyDescent="0.2">
      <c r="A141" s="7">
        <v>139</v>
      </c>
      <c r="B141" t="s">
        <v>207</v>
      </c>
      <c r="C141" t="s">
        <v>172</v>
      </c>
      <c r="D141" s="1">
        <v>20</v>
      </c>
      <c r="E141" s="2">
        <f>COUNTIF($B$2:B141, B141)</f>
        <v>1</v>
      </c>
      <c r="F141" s="3">
        <v>0</v>
      </c>
      <c r="G141" s="1">
        <v>0</v>
      </c>
      <c r="H141" s="1">
        <v>0</v>
      </c>
      <c r="I141" s="4">
        <f t="shared" si="4"/>
        <v>0</v>
      </c>
      <c r="L141" s="1">
        <v>0</v>
      </c>
      <c r="M141" s="1">
        <v>0</v>
      </c>
      <c r="N141" s="1">
        <v>0</v>
      </c>
      <c r="O141" t="s">
        <v>21</v>
      </c>
    </row>
    <row r="142" spans="1:16" x14ac:dyDescent="0.2">
      <c r="A142" s="7">
        <v>140</v>
      </c>
      <c r="B142" t="s">
        <v>208</v>
      </c>
      <c r="C142" t="s">
        <v>172</v>
      </c>
      <c r="D142" s="1">
        <v>20</v>
      </c>
      <c r="E142" s="2">
        <f>COUNTIF($B$2:B142, B142)</f>
        <v>1</v>
      </c>
      <c r="F142" s="3">
        <v>0</v>
      </c>
      <c r="G142" s="1">
        <v>0</v>
      </c>
      <c r="H142" s="1">
        <v>0</v>
      </c>
      <c r="I142" s="4">
        <f t="shared" si="4"/>
        <v>0</v>
      </c>
      <c r="L142" s="1">
        <v>1</v>
      </c>
      <c r="M142" s="1">
        <v>0</v>
      </c>
      <c r="N142" s="1">
        <v>1</v>
      </c>
      <c r="O142" t="s">
        <v>24</v>
      </c>
    </row>
    <row r="143" spans="1:16" x14ac:dyDescent="0.2">
      <c r="A143" s="7">
        <v>141</v>
      </c>
      <c r="B143" t="s">
        <v>209</v>
      </c>
      <c r="C143" t="s">
        <v>172</v>
      </c>
      <c r="D143" s="1">
        <v>20</v>
      </c>
      <c r="E143" s="2">
        <f>COUNTIF($B$2:B143, B143)</f>
        <v>1</v>
      </c>
      <c r="F143" s="3">
        <v>0</v>
      </c>
      <c r="G143" s="1">
        <v>0</v>
      </c>
      <c r="H143" s="1">
        <v>1</v>
      </c>
      <c r="I143" s="4">
        <f t="shared" si="4"/>
        <v>1</v>
      </c>
      <c r="L143" s="1">
        <v>1</v>
      </c>
      <c r="M143" s="1">
        <v>1</v>
      </c>
      <c r="N143" s="1">
        <v>1</v>
      </c>
      <c r="O143" t="s">
        <v>210</v>
      </c>
      <c r="P143" t="s">
        <v>211</v>
      </c>
    </row>
    <row r="144" spans="1:16" x14ac:dyDescent="0.2">
      <c r="A144" s="7">
        <v>142</v>
      </c>
      <c r="B144" t="s">
        <v>212</v>
      </c>
      <c r="C144" t="s">
        <v>172</v>
      </c>
      <c r="D144" s="1">
        <v>20</v>
      </c>
      <c r="E144" s="2">
        <f>COUNTIF($B$2:B144, B144)</f>
        <v>1</v>
      </c>
      <c r="F144" s="3">
        <v>0</v>
      </c>
      <c r="G144" s="1">
        <v>0</v>
      </c>
      <c r="H144" s="1">
        <v>0</v>
      </c>
      <c r="I144" s="4">
        <f t="shared" si="4"/>
        <v>0</v>
      </c>
      <c r="L144" s="1">
        <v>0</v>
      </c>
      <c r="M144" s="1">
        <v>0</v>
      </c>
      <c r="N144" s="1">
        <v>0</v>
      </c>
      <c r="O144" t="s">
        <v>21</v>
      </c>
    </row>
    <row r="145" spans="1:15" x14ac:dyDescent="0.2">
      <c r="A145" s="7">
        <v>143</v>
      </c>
      <c r="B145" t="s">
        <v>213</v>
      </c>
      <c r="C145" t="s">
        <v>172</v>
      </c>
      <c r="D145" s="1">
        <v>20</v>
      </c>
      <c r="E145" s="2">
        <f>COUNTIF($B$2:B145, B145)</f>
        <v>1</v>
      </c>
      <c r="F145" s="3">
        <v>0</v>
      </c>
      <c r="G145" s="1">
        <v>0</v>
      </c>
      <c r="H145" s="1">
        <v>1</v>
      </c>
      <c r="I145" s="4">
        <f t="shared" si="4"/>
        <v>1</v>
      </c>
      <c r="L145" s="1">
        <v>1</v>
      </c>
      <c r="M145" s="1">
        <v>1</v>
      </c>
      <c r="N145" s="1">
        <v>1</v>
      </c>
      <c r="O145" t="s">
        <v>16</v>
      </c>
    </row>
    <row r="146" spans="1:15" x14ac:dyDescent="0.2">
      <c r="A146" s="7">
        <v>144</v>
      </c>
      <c r="B146" t="s">
        <v>214</v>
      </c>
      <c r="C146" t="s">
        <v>172</v>
      </c>
      <c r="D146" s="1">
        <v>20</v>
      </c>
      <c r="E146" s="2">
        <f>COUNTIF($B$2:B146, B146)</f>
        <v>1</v>
      </c>
      <c r="F146" s="3">
        <v>0</v>
      </c>
      <c r="G146" s="1">
        <v>0</v>
      </c>
      <c r="H146" s="1">
        <v>1</v>
      </c>
      <c r="I146" s="4">
        <f t="shared" si="4"/>
        <v>1</v>
      </c>
      <c r="L146" s="1">
        <v>1</v>
      </c>
      <c r="M146" s="1">
        <v>1</v>
      </c>
      <c r="N146" s="1">
        <v>1</v>
      </c>
      <c r="O146" t="s">
        <v>16</v>
      </c>
    </row>
    <row r="147" spans="1:15" x14ac:dyDescent="0.2">
      <c r="A147" s="7">
        <v>145</v>
      </c>
      <c r="B147" t="s">
        <v>215</v>
      </c>
      <c r="C147" t="s">
        <v>172</v>
      </c>
      <c r="D147" s="1">
        <v>20</v>
      </c>
      <c r="E147" s="2">
        <f>COUNTIF($B$2:B147, B147)</f>
        <v>1</v>
      </c>
      <c r="F147" s="3">
        <v>0</v>
      </c>
      <c r="G147" s="1">
        <v>0</v>
      </c>
      <c r="H147" s="1">
        <v>0</v>
      </c>
      <c r="I147" s="4">
        <f t="shared" si="4"/>
        <v>0</v>
      </c>
      <c r="L147" s="1">
        <v>0</v>
      </c>
      <c r="M147" s="1">
        <v>0</v>
      </c>
      <c r="N147" s="1">
        <v>0</v>
      </c>
      <c r="O147" t="s">
        <v>21</v>
      </c>
    </row>
    <row r="148" spans="1:15" x14ac:dyDescent="0.2">
      <c r="A148" s="7">
        <v>146</v>
      </c>
      <c r="B148" t="s">
        <v>216</v>
      </c>
      <c r="C148" t="s">
        <v>172</v>
      </c>
      <c r="D148" s="1">
        <v>20</v>
      </c>
      <c r="E148" s="2">
        <f>COUNTIF($B$2:B148, B148)</f>
        <v>1</v>
      </c>
      <c r="F148" s="3">
        <v>0</v>
      </c>
      <c r="G148" s="1">
        <v>0</v>
      </c>
      <c r="H148" s="1">
        <v>1</v>
      </c>
      <c r="I148" s="4">
        <f t="shared" si="4"/>
        <v>1</v>
      </c>
      <c r="L148" s="1">
        <v>1</v>
      </c>
      <c r="M148" s="1">
        <v>1</v>
      </c>
      <c r="N148" s="1">
        <v>1</v>
      </c>
      <c r="O148" t="s">
        <v>16</v>
      </c>
    </row>
    <row r="149" spans="1:15" x14ac:dyDescent="0.2">
      <c r="A149" s="7">
        <v>147</v>
      </c>
      <c r="B149" t="s">
        <v>217</v>
      </c>
      <c r="C149" t="s">
        <v>172</v>
      </c>
      <c r="D149" s="1">
        <v>20</v>
      </c>
      <c r="E149" s="2">
        <f>COUNTIF($B$2:B149, B149)</f>
        <v>1</v>
      </c>
      <c r="F149" s="3">
        <v>0</v>
      </c>
      <c r="G149" s="1">
        <v>0</v>
      </c>
      <c r="H149" s="1">
        <v>1</v>
      </c>
      <c r="I149" s="4">
        <f t="shared" si="4"/>
        <v>1</v>
      </c>
      <c r="L149" s="1">
        <v>1</v>
      </c>
      <c r="M149" s="1">
        <v>1</v>
      </c>
      <c r="N149" s="1">
        <v>1</v>
      </c>
      <c r="O149" t="s">
        <v>16</v>
      </c>
    </row>
    <row r="150" spans="1:15" x14ac:dyDescent="0.2">
      <c r="A150" s="7">
        <v>148</v>
      </c>
      <c r="B150" t="s">
        <v>218</v>
      </c>
      <c r="C150" t="s">
        <v>172</v>
      </c>
      <c r="D150" s="1">
        <v>20</v>
      </c>
      <c r="E150" s="2">
        <f>COUNTIF($B$2:B150, B150)</f>
        <v>1</v>
      </c>
      <c r="F150" s="3">
        <v>0</v>
      </c>
      <c r="G150" s="1">
        <v>0</v>
      </c>
      <c r="H150" s="1">
        <v>1</v>
      </c>
      <c r="I150" s="4">
        <f t="shared" si="4"/>
        <v>1</v>
      </c>
      <c r="L150" s="1">
        <v>1</v>
      </c>
      <c r="M150" s="1">
        <v>1</v>
      </c>
      <c r="N150" s="1">
        <v>1</v>
      </c>
      <c r="O150" t="s">
        <v>16</v>
      </c>
    </row>
    <row r="151" spans="1:15" x14ac:dyDescent="0.2">
      <c r="A151" s="7">
        <v>149</v>
      </c>
      <c r="B151" t="s">
        <v>219</v>
      </c>
      <c r="C151" t="s">
        <v>172</v>
      </c>
      <c r="D151" s="1">
        <v>20</v>
      </c>
      <c r="E151" s="2">
        <f>COUNTIF($B$2:B151, B151)</f>
        <v>1</v>
      </c>
      <c r="F151" s="3">
        <v>0</v>
      </c>
      <c r="G151" s="1">
        <v>0</v>
      </c>
      <c r="H151" s="1">
        <v>0</v>
      </c>
      <c r="I151" s="4">
        <f t="shared" si="4"/>
        <v>0</v>
      </c>
      <c r="L151" s="1">
        <v>0</v>
      </c>
      <c r="M151" s="1">
        <v>0</v>
      </c>
      <c r="N151" s="1">
        <v>0</v>
      </c>
      <c r="O151" t="s">
        <v>21</v>
      </c>
    </row>
    <row r="152" spans="1:15" x14ac:dyDescent="0.2">
      <c r="A152" s="7">
        <v>150</v>
      </c>
      <c r="B152" t="s">
        <v>220</v>
      </c>
      <c r="C152" t="s">
        <v>172</v>
      </c>
      <c r="D152" s="1">
        <v>20</v>
      </c>
      <c r="E152" s="2">
        <f>COUNTIF($B$2:B152, B152)</f>
        <v>1</v>
      </c>
      <c r="F152" s="3">
        <v>0</v>
      </c>
      <c r="G152" s="1">
        <v>0</v>
      </c>
      <c r="H152" s="1">
        <v>1</v>
      </c>
      <c r="I152" s="4">
        <f t="shared" si="4"/>
        <v>1</v>
      </c>
      <c r="L152" s="1">
        <v>1</v>
      </c>
      <c r="M152" s="1">
        <v>1</v>
      </c>
      <c r="N152" s="1">
        <v>1</v>
      </c>
      <c r="O152" t="s">
        <v>16</v>
      </c>
    </row>
    <row r="153" spans="1:15" x14ac:dyDescent="0.2">
      <c r="A153" s="7">
        <v>151</v>
      </c>
      <c r="B153" t="s">
        <v>221</v>
      </c>
      <c r="C153" t="s">
        <v>172</v>
      </c>
      <c r="D153" s="1">
        <v>20</v>
      </c>
      <c r="E153" s="2">
        <f>COUNTIF($B$2:B153, B153)</f>
        <v>1</v>
      </c>
      <c r="F153" s="3">
        <v>0</v>
      </c>
      <c r="G153" s="1">
        <v>0</v>
      </c>
      <c r="H153" s="1">
        <v>1</v>
      </c>
      <c r="I153" s="4">
        <f t="shared" si="4"/>
        <v>1</v>
      </c>
      <c r="L153" s="1">
        <v>1</v>
      </c>
      <c r="M153" s="1">
        <v>1</v>
      </c>
      <c r="N153" s="1">
        <v>1</v>
      </c>
      <c r="O153" t="s">
        <v>16</v>
      </c>
    </row>
    <row r="154" spans="1:15" x14ac:dyDescent="0.2">
      <c r="A154" s="7">
        <v>152</v>
      </c>
      <c r="B154" t="s">
        <v>222</v>
      </c>
      <c r="C154" t="s">
        <v>172</v>
      </c>
      <c r="D154" s="1">
        <v>20</v>
      </c>
      <c r="E154" s="2">
        <f>COUNTIF($B$2:B154, B154)</f>
        <v>1</v>
      </c>
      <c r="F154" s="3">
        <v>0</v>
      </c>
      <c r="I154" s="4">
        <f t="shared" si="4"/>
        <v>0</v>
      </c>
      <c r="J154" s="5" t="s">
        <v>148</v>
      </c>
      <c r="L154" s="1">
        <v>1</v>
      </c>
      <c r="M154" s="1">
        <v>1</v>
      </c>
      <c r="N154" s="1">
        <v>1</v>
      </c>
      <c r="O154" t="s">
        <v>16</v>
      </c>
    </row>
    <row r="155" spans="1:15" x14ac:dyDescent="0.2">
      <c r="A155" s="7">
        <v>153</v>
      </c>
      <c r="B155" t="s">
        <v>223</v>
      </c>
      <c r="C155" t="s">
        <v>172</v>
      </c>
      <c r="D155" s="1">
        <v>20</v>
      </c>
      <c r="E155" s="2">
        <f>COUNTIF($B$2:B155, B155)</f>
        <v>1</v>
      </c>
      <c r="F155" s="3">
        <v>0</v>
      </c>
      <c r="I155" s="4">
        <f t="shared" si="4"/>
        <v>0</v>
      </c>
      <c r="J155" s="5" t="s">
        <v>224</v>
      </c>
      <c r="O155" t="s">
        <v>225</v>
      </c>
    </row>
    <row r="156" spans="1:15" x14ac:dyDescent="0.2">
      <c r="A156" s="7">
        <v>154</v>
      </c>
      <c r="B156" t="s">
        <v>226</v>
      </c>
      <c r="C156" t="s">
        <v>172</v>
      </c>
      <c r="D156" s="1">
        <v>20</v>
      </c>
      <c r="E156" s="2">
        <f>COUNTIF($B$2:B156, B156)</f>
        <v>1</v>
      </c>
      <c r="F156" s="3">
        <v>0</v>
      </c>
      <c r="G156" s="1">
        <v>0</v>
      </c>
      <c r="H156" s="1">
        <v>1</v>
      </c>
      <c r="I156" s="4">
        <f t="shared" si="4"/>
        <v>1</v>
      </c>
      <c r="L156" s="1">
        <v>1</v>
      </c>
      <c r="M156" s="1">
        <v>1</v>
      </c>
      <c r="N156" s="1">
        <v>1</v>
      </c>
      <c r="O156" t="s">
        <v>44</v>
      </c>
    </row>
    <row r="157" spans="1:15" x14ac:dyDescent="0.2">
      <c r="A157" s="7">
        <v>155</v>
      </c>
      <c r="B157" t="s">
        <v>227</v>
      </c>
      <c r="C157" t="s">
        <v>172</v>
      </c>
      <c r="D157" s="1">
        <v>21</v>
      </c>
      <c r="E157" s="2">
        <f>COUNTIF($B$2:B157, B157)</f>
        <v>1</v>
      </c>
      <c r="F157" s="3">
        <v>0</v>
      </c>
      <c r="G157" s="1">
        <v>0</v>
      </c>
      <c r="H157" s="1">
        <v>0</v>
      </c>
      <c r="I157" s="4">
        <f t="shared" si="4"/>
        <v>0</v>
      </c>
      <c r="L157" s="1">
        <v>0</v>
      </c>
      <c r="M157" s="1">
        <v>0</v>
      </c>
      <c r="N157" s="1">
        <v>0</v>
      </c>
      <c r="O157" t="s">
        <v>21</v>
      </c>
    </row>
    <row r="158" spans="1:15" x14ac:dyDescent="0.2">
      <c r="A158" s="7">
        <v>156</v>
      </c>
      <c r="B158" t="s">
        <v>228</v>
      </c>
      <c r="C158" t="s">
        <v>172</v>
      </c>
      <c r="D158" s="1">
        <v>20</v>
      </c>
      <c r="E158" s="2">
        <f>COUNTIF($B$2:B158, B158)</f>
        <v>1</v>
      </c>
      <c r="F158" s="3">
        <v>0</v>
      </c>
      <c r="G158" s="1">
        <v>0</v>
      </c>
      <c r="H158" s="1">
        <v>1</v>
      </c>
      <c r="I158" s="4">
        <f t="shared" si="4"/>
        <v>1</v>
      </c>
      <c r="L158" s="1">
        <v>1</v>
      </c>
      <c r="M158" s="1">
        <v>1</v>
      </c>
      <c r="N158" s="1">
        <v>1</v>
      </c>
      <c r="O158" t="s">
        <v>16</v>
      </c>
    </row>
    <row r="159" spans="1:15" x14ac:dyDescent="0.2">
      <c r="A159" s="7">
        <v>157</v>
      </c>
      <c r="B159" t="s">
        <v>229</v>
      </c>
      <c r="C159" t="s">
        <v>172</v>
      </c>
      <c r="D159" s="1">
        <v>20</v>
      </c>
      <c r="E159" s="2">
        <f>COUNTIF($B$2:B159, B159)</f>
        <v>1</v>
      </c>
      <c r="F159" s="3">
        <v>0</v>
      </c>
      <c r="G159" s="1">
        <v>0</v>
      </c>
      <c r="H159" s="1">
        <v>1</v>
      </c>
      <c r="I159" s="4">
        <f t="shared" si="4"/>
        <v>1</v>
      </c>
      <c r="L159" s="1">
        <v>1</v>
      </c>
      <c r="M159" s="1">
        <v>1</v>
      </c>
      <c r="N159" s="1">
        <v>1</v>
      </c>
      <c r="O159" t="s">
        <v>16</v>
      </c>
    </row>
    <row r="160" spans="1:15" x14ac:dyDescent="0.2">
      <c r="A160" s="7">
        <v>158</v>
      </c>
      <c r="B160" t="s">
        <v>230</v>
      </c>
      <c r="C160" t="s">
        <v>172</v>
      </c>
      <c r="D160" s="1">
        <v>20</v>
      </c>
      <c r="E160" s="2">
        <f>COUNTIF($B$2:B160, B160)</f>
        <v>1</v>
      </c>
      <c r="F160" s="3">
        <v>0</v>
      </c>
      <c r="G160" s="1">
        <v>0</v>
      </c>
      <c r="H160" s="1">
        <v>1</v>
      </c>
      <c r="I160" s="4">
        <f t="shared" si="4"/>
        <v>1</v>
      </c>
      <c r="L160" s="1">
        <v>1</v>
      </c>
      <c r="M160" s="1">
        <v>1</v>
      </c>
      <c r="N160" s="1">
        <v>1</v>
      </c>
      <c r="O160" t="s">
        <v>16</v>
      </c>
    </row>
    <row r="161" spans="1:15" x14ac:dyDescent="0.2">
      <c r="A161" s="7">
        <v>159</v>
      </c>
      <c r="B161" t="s">
        <v>231</v>
      </c>
      <c r="C161" t="s">
        <v>172</v>
      </c>
      <c r="D161" s="1">
        <v>20</v>
      </c>
      <c r="E161" s="2">
        <f>COUNTIF($B$2:B161, B161)</f>
        <v>1</v>
      </c>
      <c r="F161" s="3">
        <v>0</v>
      </c>
      <c r="G161" s="1">
        <v>0</v>
      </c>
      <c r="H161" s="1">
        <v>0</v>
      </c>
      <c r="I161" s="4">
        <f t="shared" si="4"/>
        <v>0</v>
      </c>
      <c r="L161" s="1">
        <v>0</v>
      </c>
      <c r="M161" s="1">
        <v>0</v>
      </c>
      <c r="N161" s="1">
        <v>0</v>
      </c>
      <c r="O161" t="s">
        <v>21</v>
      </c>
    </row>
    <row r="162" spans="1:15" x14ac:dyDescent="0.2">
      <c r="A162" s="7">
        <v>160</v>
      </c>
      <c r="B162" t="s">
        <v>232</v>
      </c>
      <c r="C162" t="s">
        <v>172</v>
      </c>
      <c r="D162" s="1">
        <v>20</v>
      </c>
      <c r="E162" s="2">
        <f>COUNTIF($B$2:B162, B162)</f>
        <v>1</v>
      </c>
      <c r="F162" s="3">
        <v>0</v>
      </c>
      <c r="G162" s="1">
        <v>0</v>
      </c>
      <c r="H162" s="1">
        <v>0</v>
      </c>
      <c r="I162" s="4">
        <f t="shared" ref="I162:I167" si="5">SUM(G162:H162)</f>
        <v>0</v>
      </c>
      <c r="L162" s="1">
        <v>0</v>
      </c>
      <c r="M162" s="1">
        <v>0</v>
      </c>
      <c r="N162" s="1">
        <v>0</v>
      </c>
      <c r="O162" t="s">
        <v>21</v>
      </c>
    </row>
    <row r="163" spans="1:15" x14ac:dyDescent="0.2">
      <c r="A163" s="7">
        <v>161</v>
      </c>
      <c r="B163" t="s">
        <v>233</v>
      </c>
      <c r="C163" t="s">
        <v>172</v>
      </c>
      <c r="D163" s="1">
        <v>20</v>
      </c>
      <c r="E163" s="2">
        <f>COUNTIF($B$2:B163, B163)</f>
        <v>1</v>
      </c>
      <c r="F163" s="3">
        <v>0</v>
      </c>
      <c r="G163" s="1">
        <v>0</v>
      </c>
      <c r="H163" s="1">
        <v>0</v>
      </c>
      <c r="I163" s="4">
        <f t="shared" si="5"/>
        <v>0</v>
      </c>
      <c r="L163" s="1">
        <v>0</v>
      </c>
      <c r="M163" s="1">
        <v>0</v>
      </c>
      <c r="N163" s="1">
        <v>0</v>
      </c>
      <c r="O163" t="s">
        <v>21</v>
      </c>
    </row>
    <row r="164" spans="1:15" x14ac:dyDescent="0.2">
      <c r="A164" s="7">
        <v>162</v>
      </c>
      <c r="B164" t="s">
        <v>234</v>
      </c>
      <c r="C164" t="s">
        <v>172</v>
      </c>
      <c r="D164" s="1">
        <v>20</v>
      </c>
      <c r="E164" s="2">
        <f>COUNTIF($B$2:B164, B164)</f>
        <v>1</v>
      </c>
      <c r="F164" s="3">
        <v>0</v>
      </c>
      <c r="G164" s="1">
        <v>0</v>
      </c>
      <c r="H164" s="1">
        <v>1</v>
      </c>
      <c r="I164" s="4">
        <f t="shared" si="5"/>
        <v>1</v>
      </c>
      <c r="L164" s="1">
        <v>1</v>
      </c>
      <c r="M164" s="1">
        <v>1</v>
      </c>
      <c r="N164" s="1">
        <v>1</v>
      </c>
      <c r="O164" t="s">
        <v>16</v>
      </c>
    </row>
    <row r="165" spans="1:15" x14ac:dyDescent="0.2">
      <c r="A165" s="7">
        <v>163</v>
      </c>
      <c r="B165" t="s">
        <v>235</v>
      </c>
      <c r="C165" t="s">
        <v>172</v>
      </c>
      <c r="D165" s="1">
        <v>20</v>
      </c>
      <c r="E165" s="2">
        <f>COUNTIF($B$2:B165, B165)</f>
        <v>1</v>
      </c>
      <c r="F165" s="3">
        <v>0</v>
      </c>
      <c r="G165" s="1">
        <v>0</v>
      </c>
      <c r="H165" s="1">
        <v>1</v>
      </c>
      <c r="I165" s="4">
        <f t="shared" si="5"/>
        <v>1</v>
      </c>
      <c r="L165" s="1">
        <v>1</v>
      </c>
      <c r="M165" s="1">
        <v>1</v>
      </c>
      <c r="N165" s="1">
        <v>1</v>
      </c>
      <c r="O165" t="s">
        <v>16</v>
      </c>
    </row>
    <row r="166" spans="1:15" x14ac:dyDescent="0.2">
      <c r="A166" s="7">
        <v>164</v>
      </c>
      <c r="B166" t="s">
        <v>236</v>
      </c>
      <c r="C166" t="s">
        <v>172</v>
      </c>
      <c r="D166" s="1">
        <v>20</v>
      </c>
      <c r="E166" s="2">
        <f>COUNTIF($B$2:B166, B166)</f>
        <v>1</v>
      </c>
      <c r="F166" s="3">
        <v>0</v>
      </c>
      <c r="G166" s="1">
        <v>0</v>
      </c>
      <c r="H166" s="1">
        <v>0</v>
      </c>
      <c r="I166" s="4">
        <f t="shared" si="5"/>
        <v>0</v>
      </c>
      <c r="L166" s="1">
        <v>0</v>
      </c>
      <c r="M166" s="1">
        <v>0</v>
      </c>
      <c r="N166" s="1">
        <v>0</v>
      </c>
      <c r="O166" t="s">
        <v>21</v>
      </c>
    </row>
    <row r="167" spans="1:15" x14ac:dyDescent="0.2">
      <c r="A167" s="7">
        <v>165</v>
      </c>
      <c r="B167" t="s">
        <v>237</v>
      </c>
      <c r="C167" t="s">
        <v>172</v>
      </c>
      <c r="D167" s="1">
        <v>20</v>
      </c>
      <c r="E167" s="2">
        <f>COUNTIF($B$2:B167, B167)</f>
        <v>1</v>
      </c>
      <c r="F167" s="3">
        <v>0</v>
      </c>
      <c r="G167" s="1">
        <v>0</v>
      </c>
      <c r="H167" s="1">
        <v>1</v>
      </c>
      <c r="I167" s="4">
        <f t="shared" si="5"/>
        <v>1</v>
      </c>
      <c r="L167" s="1">
        <v>1</v>
      </c>
      <c r="M167" s="1">
        <v>1</v>
      </c>
      <c r="N167" s="1">
        <v>1</v>
      </c>
      <c r="O167" t="s">
        <v>16</v>
      </c>
    </row>
    <row r="168" spans="1:15" x14ac:dyDescent="0.2">
      <c r="A168" s="7">
        <v>166</v>
      </c>
      <c r="B168" t="s">
        <v>238</v>
      </c>
      <c r="C168" t="s">
        <v>172</v>
      </c>
      <c r="D168" s="1">
        <v>20</v>
      </c>
      <c r="E168" s="2">
        <f>COUNTIF($B$2:B168, B168)</f>
        <v>1</v>
      </c>
      <c r="F168" s="3">
        <v>0</v>
      </c>
      <c r="I168" s="4">
        <v>1</v>
      </c>
      <c r="J168" s="5" t="s">
        <v>148</v>
      </c>
      <c r="O168" t="s">
        <v>225</v>
      </c>
    </row>
    <row r="169" spans="1:15" x14ac:dyDescent="0.2">
      <c r="A169" s="7">
        <v>167</v>
      </c>
      <c r="B169" t="s">
        <v>239</v>
      </c>
      <c r="C169" t="s">
        <v>172</v>
      </c>
      <c r="D169" s="1">
        <v>20</v>
      </c>
      <c r="E169" s="2">
        <f>COUNTIF($B$2:B169, B169)</f>
        <v>1</v>
      </c>
      <c r="F169" s="3">
        <v>0</v>
      </c>
      <c r="G169" s="1">
        <v>0</v>
      </c>
      <c r="H169" s="1">
        <v>1</v>
      </c>
      <c r="I169" s="4">
        <f t="shared" ref="I169:I198" si="6">SUM(G169:H169)</f>
        <v>1</v>
      </c>
      <c r="L169" s="1">
        <v>1</v>
      </c>
      <c r="M169" s="1">
        <v>1</v>
      </c>
      <c r="N169" s="1">
        <v>1</v>
      </c>
      <c r="O169" t="s">
        <v>16</v>
      </c>
    </row>
    <row r="170" spans="1:15" x14ac:dyDescent="0.2">
      <c r="A170" s="7">
        <v>168</v>
      </c>
      <c r="B170" t="s">
        <v>240</v>
      </c>
      <c r="C170" t="s">
        <v>172</v>
      </c>
      <c r="D170" s="1">
        <v>20</v>
      </c>
      <c r="E170" s="2">
        <f>COUNTIF($B$2:B170, B170)</f>
        <v>1</v>
      </c>
      <c r="F170" s="3">
        <v>1</v>
      </c>
      <c r="G170" s="1">
        <v>0</v>
      </c>
      <c r="H170" s="1">
        <v>0</v>
      </c>
      <c r="I170" s="4">
        <f t="shared" si="6"/>
        <v>0</v>
      </c>
      <c r="J170" s="5" t="s">
        <v>241</v>
      </c>
      <c r="L170" s="1">
        <v>1</v>
      </c>
      <c r="M170" s="1">
        <v>1</v>
      </c>
      <c r="N170" s="1">
        <v>1</v>
      </c>
      <c r="O170" t="s">
        <v>16</v>
      </c>
    </row>
    <row r="171" spans="1:15" x14ac:dyDescent="0.2">
      <c r="A171" s="7">
        <v>169</v>
      </c>
      <c r="B171" t="s">
        <v>242</v>
      </c>
      <c r="C171" t="s">
        <v>172</v>
      </c>
      <c r="D171" s="1">
        <v>20</v>
      </c>
      <c r="E171" s="2">
        <f>COUNTIF($B$2:B171, B171)</f>
        <v>1</v>
      </c>
      <c r="F171" s="3">
        <v>1</v>
      </c>
      <c r="G171" s="1">
        <v>0</v>
      </c>
      <c r="H171" s="1">
        <v>0</v>
      </c>
      <c r="I171" s="4">
        <f t="shared" si="6"/>
        <v>0</v>
      </c>
      <c r="J171" s="5" t="s">
        <v>241</v>
      </c>
      <c r="L171" s="1">
        <v>1</v>
      </c>
      <c r="M171" s="1">
        <v>1</v>
      </c>
      <c r="N171" s="1">
        <v>1</v>
      </c>
      <c r="O171" t="s">
        <v>16</v>
      </c>
    </row>
    <row r="172" spans="1:15" x14ac:dyDescent="0.2">
      <c r="A172" s="7">
        <v>170</v>
      </c>
      <c r="B172" t="s">
        <v>243</v>
      </c>
      <c r="C172" t="s">
        <v>244</v>
      </c>
      <c r="D172" s="1">
        <v>20</v>
      </c>
      <c r="E172" s="2">
        <f>COUNTIF($B$2:B172, B172)</f>
        <v>1</v>
      </c>
      <c r="F172" s="3">
        <v>1</v>
      </c>
      <c r="G172" s="1">
        <v>0</v>
      </c>
      <c r="H172" s="1">
        <v>0</v>
      </c>
      <c r="I172" s="4">
        <f t="shared" si="6"/>
        <v>0</v>
      </c>
      <c r="L172" s="1">
        <v>0</v>
      </c>
      <c r="M172" s="1">
        <v>0</v>
      </c>
      <c r="N172" s="1">
        <v>0</v>
      </c>
      <c r="O172" t="s">
        <v>245</v>
      </c>
    </row>
    <row r="173" spans="1:15" x14ac:dyDescent="0.2">
      <c r="A173" s="7">
        <v>171</v>
      </c>
      <c r="B173" t="s">
        <v>246</v>
      </c>
      <c r="C173" t="s">
        <v>247</v>
      </c>
      <c r="D173" s="1">
        <v>19</v>
      </c>
      <c r="E173" s="2">
        <f>COUNTIF($B$2:B173, B173)</f>
        <v>1</v>
      </c>
      <c r="F173" s="3">
        <v>0</v>
      </c>
      <c r="G173" s="1">
        <v>0</v>
      </c>
      <c r="H173" s="1">
        <v>0</v>
      </c>
      <c r="I173" s="4">
        <f t="shared" si="6"/>
        <v>0</v>
      </c>
      <c r="L173" s="1">
        <v>0</v>
      </c>
      <c r="M173" s="1">
        <v>0</v>
      </c>
      <c r="N173" s="1">
        <v>0</v>
      </c>
      <c r="O173" t="s">
        <v>40</v>
      </c>
    </row>
    <row r="174" spans="1:15" x14ac:dyDescent="0.2">
      <c r="A174" s="7">
        <v>172</v>
      </c>
      <c r="B174" t="s">
        <v>248</v>
      </c>
      <c r="C174" t="s">
        <v>247</v>
      </c>
      <c r="D174" s="1">
        <v>20</v>
      </c>
      <c r="E174" s="2">
        <f>COUNTIF($B$2:B174, B174)</f>
        <v>1</v>
      </c>
      <c r="F174" s="3">
        <v>0</v>
      </c>
      <c r="G174" s="1">
        <v>0</v>
      </c>
      <c r="H174" s="1">
        <v>0</v>
      </c>
      <c r="I174" s="4">
        <f t="shared" si="6"/>
        <v>0</v>
      </c>
      <c r="L174" s="1">
        <v>0</v>
      </c>
      <c r="M174" s="1">
        <v>0</v>
      </c>
      <c r="N174" s="1">
        <v>0</v>
      </c>
      <c r="O174" t="s">
        <v>21</v>
      </c>
    </row>
    <row r="175" spans="1:15" x14ac:dyDescent="0.2">
      <c r="A175" s="7">
        <v>173</v>
      </c>
      <c r="B175" t="s">
        <v>249</v>
      </c>
      <c r="C175" t="s">
        <v>247</v>
      </c>
      <c r="D175" s="1">
        <v>20</v>
      </c>
      <c r="E175" s="2">
        <f>COUNTIF($B$2:B175, B175)</f>
        <v>1</v>
      </c>
      <c r="F175" s="3">
        <v>0</v>
      </c>
      <c r="G175" s="1">
        <v>0</v>
      </c>
      <c r="H175" s="1">
        <v>0</v>
      </c>
      <c r="I175" s="4">
        <f t="shared" si="6"/>
        <v>0</v>
      </c>
      <c r="L175" s="1">
        <v>1</v>
      </c>
      <c r="M175" s="1">
        <v>0</v>
      </c>
      <c r="N175" s="1">
        <v>1</v>
      </c>
      <c r="O175" t="s">
        <v>24</v>
      </c>
    </row>
    <row r="176" spans="1:15" x14ac:dyDescent="0.2">
      <c r="A176" s="7">
        <v>174</v>
      </c>
      <c r="B176" t="s">
        <v>250</v>
      </c>
      <c r="C176" t="s">
        <v>247</v>
      </c>
      <c r="D176" s="1">
        <v>20</v>
      </c>
      <c r="E176" s="2">
        <f>COUNTIF($B$2:B176, B176)</f>
        <v>1</v>
      </c>
      <c r="F176" s="3">
        <v>0</v>
      </c>
      <c r="G176" s="1">
        <v>0</v>
      </c>
      <c r="H176" s="1">
        <v>0</v>
      </c>
      <c r="I176" s="4">
        <f t="shared" si="6"/>
        <v>0</v>
      </c>
      <c r="L176" s="1">
        <v>0</v>
      </c>
      <c r="M176" s="1">
        <v>0</v>
      </c>
      <c r="N176" s="1">
        <v>0</v>
      </c>
      <c r="O176" t="s">
        <v>21</v>
      </c>
    </row>
    <row r="177" spans="1:15" x14ac:dyDescent="0.2">
      <c r="A177" s="7">
        <v>175</v>
      </c>
      <c r="B177" t="s">
        <v>251</v>
      </c>
      <c r="C177" t="s">
        <v>247</v>
      </c>
      <c r="D177" s="1">
        <v>20</v>
      </c>
      <c r="E177" s="2">
        <f>COUNTIF($B$2:B177, B177)</f>
        <v>1</v>
      </c>
      <c r="F177" s="3">
        <v>0</v>
      </c>
      <c r="G177" s="1">
        <v>0</v>
      </c>
      <c r="H177" s="1">
        <v>0</v>
      </c>
      <c r="I177" s="4">
        <f t="shared" si="6"/>
        <v>0</v>
      </c>
      <c r="L177" s="1">
        <v>0</v>
      </c>
      <c r="M177" s="1">
        <v>0</v>
      </c>
      <c r="N177" s="1">
        <v>0</v>
      </c>
      <c r="O177" t="s">
        <v>21</v>
      </c>
    </row>
    <row r="178" spans="1:15" x14ac:dyDescent="0.2">
      <c r="A178" s="7">
        <v>176</v>
      </c>
      <c r="B178" t="s">
        <v>252</v>
      </c>
      <c r="C178" t="s">
        <v>247</v>
      </c>
      <c r="D178" s="1">
        <v>20</v>
      </c>
      <c r="E178" s="2">
        <f>COUNTIF($B$2:B178, B178)</f>
        <v>1</v>
      </c>
      <c r="F178" s="3">
        <v>0</v>
      </c>
      <c r="G178" s="1">
        <v>0</v>
      </c>
      <c r="H178" s="1">
        <v>0</v>
      </c>
      <c r="I178" s="4">
        <f t="shared" si="6"/>
        <v>0</v>
      </c>
      <c r="L178" s="1">
        <v>0</v>
      </c>
      <c r="M178" s="1">
        <v>0</v>
      </c>
      <c r="N178" s="1">
        <v>0</v>
      </c>
      <c r="O178" t="s">
        <v>21</v>
      </c>
    </row>
    <row r="179" spans="1:15" x14ac:dyDescent="0.2">
      <c r="A179" s="7">
        <v>177</v>
      </c>
      <c r="B179" t="s">
        <v>253</v>
      </c>
      <c r="C179" t="s">
        <v>254</v>
      </c>
      <c r="D179" s="1">
        <v>20</v>
      </c>
      <c r="E179" s="2">
        <f>COUNTIF($B$2:B179, B179)</f>
        <v>1</v>
      </c>
      <c r="F179" s="3">
        <v>0</v>
      </c>
      <c r="G179" s="1">
        <v>0</v>
      </c>
      <c r="H179" s="1">
        <v>1</v>
      </c>
      <c r="I179" s="4">
        <f t="shared" si="6"/>
        <v>1</v>
      </c>
      <c r="L179" s="1">
        <v>1</v>
      </c>
      <c r="M179" s="1">
        <v>1</v>
      </c>
      <c r="N179" s="1">
        <v>1</v>
      </c>
      <c r="O179" t="s">
        <v>16</v>
      </c>
    </row>
    <row r="180" spans="1:15" x14ac:dyDescent="0.2">
      <c r="A180" s="7">
        <v>178</v>
      </c>
      <c r="B180" t="s">
        <v>255</v>
      </c>
      <c r="C180" t="s">
        <v>254</v>
      </c>
      <c r="D180" s="1">
        <v>20</v>
      </c>
      <c r="E180" s="2">
        <f>COUNTIF($B$2:B180, B180)</f>
        <v>1</v>
      </c>
      <c r="F180" s="3">
        <v>0</v>
      </c>
      <c r="G180" s="1">
        <v>0</v>
      </c>
      <c r="H180" s="1">
        <v>1</v>
      </c>
      <c r="I180" s="4">
        <f t="shared" si="6"/>
        <v>1</v>
      </c>
      <c r="L180" s="1">
        <v>1</v>
      </c>
      <c r="M180" s="1">
        <v>1</v>
      </c>
      <c r="N180" s="1">
        <v>1</v>
      </c>
      <c r="O180" t="s">
        <v>44</v>
      </c>
    </row>
    <row r="181" spans="1:15" x14ac:dyDescent="0.2">
      <c r="A181" s="7">
        <v>179</v>
      </c>
      <c r="B181" t="s">
        <v>256</v>
      </c>
      <c r="C181" t="s">
        <v>254</v>
      </c>
      <c r="D181" s="1">
        <v>20</v>
      </c>
      <c r="E181" s="2">
        <f>COUNTIF($B$2:B181, B181)</f>
        <v>1</v>
      </c>
      <c r="F181" s="3">
        <v>0</v>
      </c>
      <c r="G181" s="1">
        <v>0</v>
      </c>
      <c r="H181" s="1">
        <v>1</v>
      </c>
      <c r="I181" s="4">
        <f t="shared" si="6"/>
        <v>1</v>
      </c>
      <c r="L181" s="1">
        <v>1</v>
      </c>
      <c r="M181" s="1">
        <v>1</v>
      </c>
      <c r="N181" s="1">
        <v>1</v>
      </c>
      <c r="O181" t="s">
        <v>16</v>
      </c>
    </row>
    <row r="182" spans="1:15" x14ac:dyDescent="0.2">
      <c r="A182" s="7">
        <v>180</v>
      </c>
      <c r="B182" t="s">
        <v>257</v>
      </c>
      <c r="C182" t="s">
        <v>254</v>
      </c>
      <c r="D182" s="1">
        <v>20</v>
      </c>
      <c r="E182" s="2">
        <f>COUNTIF($B$2:B182, B182)</f>
        <v>1</v>
      </c>
      <c r="F182" s="3">
        <v>0</v>
      </c>
      <c r="G182" s="1">
        <v>0</v>
      </c>
      <c r="H182" s="1">
        <v>0</v>
      </c>
      <c r="I182" s="4">
        <f t="shared" si="6"/>
        <v>0</v>
      </c>
      <c r="L182" s="1">
        <v>1</v>
      </c>
      <c r="M182" s="1">
        <v>0</v>
      </c>
      <c r="N182" s="1">
        <v>0</v>
      </c>
      <c r="O182" t="s">
        <v>24</v>
      </c>
    </row>
    <row r="183" spans="1:15" x14ac:dyDescent="0.2">
      <c r="A183" s="7">
        <v>181</v>
      </c>
      <c r="B183" t="s">
        <v>258</v>
      </c>
      <c r="C183" t="s">
        <v>254</v>
      </c>
      <c r="D183" s="1">
        <v>20</v>
      </c>
      <c r="E183" s="2">
        <f>COUNTIF($B$2:B183, B183)</f>
        <v>1</v>
      </c>
      <c r="F183" s="3">
        <v>0</v>
      </c>
      <c r="G183" s="1">
        <v>0</v>
      </c>
      <c r="H183" s="1">
        <v>1</v>
      </c>
      <c r="I183" s="4">
        <f t="shared" si="6"/>
        <v>1</v>
      </c>
      <c r="L183" s="1">
        <v>1</v>
      </c>
      <c r="M183" s="1">
        <v>1</v>
      </c>
      <c r="N183" s="1">
        <v>1</v>
      </c>
      <c r="O183" t="s">
        <v>44</v>
      </c>
    </row>
    <row r="184" spans="1:15" x14ac:dyDescent="0.2">
      <c r="A184" s="7">
        <v>182</v>
      </c>
      <c r="B184" t="s">
        <v>259</v>
      </c>
      <c r="C184" t="s">
        <v>254</v>
      </c>
      <c r="D184" s="1">
        <v>20</v>
      </c>
      <c r="E184" s="2">
        <f>COUNTIF($B$2:B184, B184)</f>
        <v>1</v>
      </c>
      <c r="F184" s="3">
        <v>0</v>
      </c>
      <c r="G184" s="1">
        <v>0</v>
      </c>
      <c r="H184" s="1">
        <v>1</v>
      </c>
      <c r="I184" s="4">
        <f t="shared" si="6"/>
        <v>1</v>
      </c>
      <c r="J184" s="5" t="s">
        <v>260</v>
      </c>
      <c r="L184" s="1">
        <v>1</v>
      </c>
      <c r="M184" s="1">
        <v>1</v>
      </c>
      <c r="N184" s="1">
        <v>1</v>
      </c>
      <c r="O184" t="s">
        <v>261</v>
      </c>
    </row>
    <row r="185" spans="1:15" x14ac:dyDescent="0.2">
      <c r="A185" s="7">
        <v>183</v>
      </c>
      <c r="B185" t="s">
        <v>262</v>
      </c>
      <c r="C185" t="s">
        <v>254</v>
      </c>
      <c r="D185" s="1">
        <v>20</v>
      </c>
      <c r="E185" s="2">
        <f>COUNTIF($B$2:B185, B185)</f>
        <v>1</v>
      </c>
      <c r="F185" s="3">
        <v>0</v>
      </c>
      <c r="G185" s="1">
        <v>0</v>
      </c>
      <c r="H185" s="1">
        <v>0</v>
      </c>
      <c r="I185" s="4">
        <f t="shared" si="6"/>
        <v>0</v>
      </c>
      <c r="L185" s="1">
        <v>0</v>
      </c>
      <c r="M185" s="1">
        <v>0</v>
      </c>
      <c r="N185" s="1">
        <v>0</v>
      </c>
      <c r="O185" t="s">
        <v>21</v>
      </c>
    </row>
    <row r="186" spans="1:15" x14ac:dyDescent="0.2">
      <c r="A186" s="7">
        <v>184</v>
      </c>
      <c r="B186" t="s">
        <v>263</v>
      </c>
      <c r="C186" t="s">
        <v>254</v>
      </c>
      <c r="D186" s="1">
        <v>20</v>
      </c>
      <c r="E186" s="2">
        <f>COUNTIF($B$2:B186, B186)</f>
        <v>1</v>
      </c>
      <c r="F186" s="3">
        <v>0</v>
      </c>
      <c r="G186" s="1">
        <v>0</v>
      </c>
      <c r="H186" s="1">
        <v>1</v>
      </c>
      <c r="I186" s="4">
        <f t="shared" si="6"/>
        <v>1</v>
      </c>
      <c r="L186" s="1">
        <v>1</v>
      </c>
      <c r="M186" s="1">
        <v>1</v>
      </c>
      <c r="N186" s="1">
        <v>1</v>
      </c>
      <c r="O186" t="s">
        <v>44</v>
      </c>
    </row>
    <row r="187" spans="1:15" x14ac:dyDescent="0.2">
      <c r="A187" s="7">
        <v>185</v>
      </c>
      <c r="B187" t="s">
        <v>264</v>
      </c>
      <c r="C187" t="s">
        <v>254</v>
      </c>
      <c r="D187" s="1">
        <v>20</v>
      </c>
      <c r="E187" s="2">
        <f>COUNTIF($B$2:B187, B187)</f>
        <v>1</v>
      </c>
      <c r="F187" s="3">
        <v>0</v>
      </c>
      <c r="G187" s="1">
        <v>0</v>
      </c>
      <c r="H187" s="1">
        <v>1</v>
      </c>
      <c r="I187" s="4">
        <f t="shared" si="6"/>
        <v>1</v>
      </c>
      <c r="L187" s="1">
        <v>1</v>
      </c>
      <c r="M187" s="1">
        <v>1</v>
      </c>
      <c r="N187" s="1">
        <v>1</v>
      </c>
      <c r="O187" t="s">
        <v>16</v>
      </c>
    </row>
    <row r="188" spans="1:15" x14ac:dyDescent="0.2">
      <c r="A188" s="7">
        <v>186</v>
      </c>
      <c r="B188" t="s">
        <v>265</v>
      </c>
      <c r="C188" t="s">
        <v>254</v>
      </c>
      <c r="D188" s="1">
        <v>20</v>
      </c>
      <c r="E188" s="2">
        <f>COUNTIF($B$2:B188, B188)</f>
        <v>1</v>
      </c>
      <c r="F188" s="3">
        <v>0</v>
      </c>
      <c r="G188" s="1">
        <v>0</v>
      </c>
      <c r="H188" s="1">
        <v>1</v>
      </c>
      <c r="I188" s="4">
        <f t="shared" si="6"/>
        <v>1</v>
      </c>
      <c r="L188" s="1">
        <v>1</v>
      </c>
      <c r="M188" s="1">
        <v>1</v>
      </c>
      <c r="N188" s="1">
        <v>1</v>
      </c>
      <c r="O188" t="s">
        <v>16</v>
      </c>
    </row>
    <row r="189" spans="1:15" x14ac:dyDescent="0.2">
      <c r="A189" s="7">
        <v>187</v>
      </c>
      <c r="B189" t="s">
        <v>266</v>
      </c>
      <c r="C189" t="s">
        <v>254</v>
      </c>
      <c r="D189" s="1">
        <v>20</v>
      </c>
      <c r="E189" s="2">
        <f>COUNTIF($B$2:B189, B189)</f>
        <v>1</v>
      </c>
      <c r="F189" s="3">
        <v>0</v>
      </c>
      <c r="G189" s="1">
        <v>0</v>
      </c>
      <c r="H189" s="1">
        <v>1</v>
      </c>
      <c r="I189" s="4">
        <f t="shared" si="6"/>
        <v>1</v>
      </c>
      <c r="L189" s="1">
        <v>1</v>
      </c>
      <c r="M189" s="1">
        <v>1</v>
      </c>
      <c r="N189" s="1">
        <v>1</v>
      </c>
      <c r="O189" t="s">
        <v>16</v>
      </c>
    </row>
    <row r="190" spans="1:15" x14ac:dyDescent="0.2">
      <c r="A190" s="7">
        <v>188</v>
      </c>
      <c r="B190" t="s">
        <v>267</v>
      </c>
      <c r="C190" t="s">
        <v>254</v>
      </c>
      <c r="D190" s="1">
        <v>20</v>
      </c>
      <c r="E190" s="2">
        <f>COUNTIF($B$2:B190, B190)</f>
        <v>1</v>
      </c>
      <c r="F190" s="3">
        <v>0</v>
      </c>
      <c r="G190" s="1">
        <v>0</v>
      </c>
      <c r="H190" s="1">
        <v>1</v>
      </c>
      <c r="I190" s="4">
        <f t="shared" si="6"/>
        <v>1</v>
      </c>
      <c r="J190" s="5" t="s">
        <v>268</v>
      </c>
      <c r="L190" s="1">
        <v>1</v>
      </c>
      <c r="M190" s="1">
        <v>1</v>
      </c>
      <c r="N190" s="1">
        <v>0</v>
      </c>
      <c r="O190" t="s">
        <v>261</v>
      </c>
    </row>
    <row r="191" spans="1:15" x14ac:dyDescent="0.2">
      <c r="A191" s="7">
        <v>189</v>
      </c>
      <c r="B191" t="s">
        <v>269</v>
      </c>
      <c r="C191" t="s">
        <v>254</v>
      </c>
      <c r="D191" s="1">
        <v>20</v>
      </c>
      <c r="E191" s="2">
        <f>COUNTIF($B$2:B191, B191)</f>
        <v>1</v>
      </c>
      <c r="F191" s="3">
        <v>0</v>
      </c>
      <c r="G191" s="1">
        <v>0</v>
      </c>
      <c r="H191" s="1">
        <v>1</v>
      </c>
      <c r="I191" s="4">
        <f t="shared" si="6"/>
        <v>1</v>
      </c>
      <c r="L191" s="1">
        <v>1</v>
      </c>
      <c r="M191" s="1">
        <v>1</v>
      </c>
      <c r="N191" s="1">
        <v>1</v>
      </c>
      <c r="O191" t="s">
        <v>16</v>
      </c>
    </row>
    <row r="192" spans="1:15" x14ac:dyDescent="0.2">
      <c r="A192" s="7">
        <v>190</v>
      </c>
      <c r="B192" t="s">
        <v>270</v>
      </c>
      <c r="C192" t="s">
        <v>254</v>
      </c>
      <c r="D192" s="1">
        <v>20</v>
      </c>
      <c r="E192" s="2">
        <f>COUNTIF($B$2:B192, B192)</f>
        <v>1</v>
      </c>
      <c r="F192" s="3">
        <v>0</v>
      </c>
      <c r="G192" s="1">
        <v>0</v>
      </c>
      <c r="H192" s="1">
        <v>1</v>
      </c>
      <c r="I192" s="4">
        <f t="shared" si="6"/>
        <v>1</v>
      </c>
      <c r="L192" s="1">
        <v>1</v>
      </c>
      <c r="M192" s="1">
        <v>0</v>
      </c>
      <c r="N192" s="1">
        <v>1</v>
      </c>
      <c r="O192" t="s">
        <v>164</v>
      </c>
    </row>
    <row r="193" spans="1:15" x14ac:dyDescent="0.2">
      <c r="A193" s="7">
        <v>191</v>
      </c>
      <c r="B193" t="s">
        <v>271</v>
      </c>
      <c r="C193" t="s">
        <v>254</v>
      </c>
      <c r="D193" s="1">
        <v>20</v>
      </c>
      <c r="E193" s="2">
        <f>COUNTIF($B$2:B193, B193)</f>
        <v>1</v>
      </c>
      <c r="F193" s="3">
        <v>0</v>
      </c>
      <c r="G193" s="1">
        <v>0</v>
      </c>
      <c r="H193" s="1">
        <v>1</v>
      </c>
      <c r="I193" s="4">
        <f t="shared" si="6"/>
        <v>1</v>
      </c>
      <c r="L193" s="1">
        <v>1</v>
      </c>
      <c r="M193" s="1">
        <v>1</v>
      </c>
      <c r="N193" s="1">
        <v>1</v>
      </c>
      <c r="O193" t="s">
        <v>16</v>
      </c>
    </row>
    <row r="194" spans="1:15" x14ac:dyDescent="0.2">
      <c r="A194" s="7">
        <v>192</v>
      </c>
      <c r="B194" t="s">
        <v>272</v>
      </c>
      <c r="C194" t="s">
        <v>254</v>
      </c>
      <c r="D194" s="1">
        <v>19</v>
      </c>
      <c r="E194" s="2">
        <f>COUNTIF($B$2:B194, B194)</f>
        <v>1</v>
      </c>
      <c r="F194" s="3">
        <v>0</v>
      </c>
      <c r="G194" s="1">
        <v>0</v>
      </c>
      <c r="H194" s="1">
        <v>0</v>
      </c>
      <c r="I194" s="4">
        <f t="shared" si="6"/>
        <v>0</v>
      </c>
      <c r="L194" s="1">
        <v>0</v>
      </c>
      <c r="M194" s="1">
        <v>0</v>
      </c>
      <c r="N194" s="1">
        <v>0</v>
      </c>
      <c r="O194" t="s">
        <v>40</v>
      </c>
    </row>
    <row r="195" spans="1:15" x14ac:dyDescent="0.2">
      <c r="A195" s="7">
        <v>193</v>
      </c>
      <c r="B195" t="s">
        <v>273</v>
      </c>
      <c r="C195" t="s">
        <v>254</v>
      </c>
      <c r="D195" s="1">
        <v>20</v>
      </c>
      <c r="E195" s="2">
        <f>COUNTIF($B$2:B195, B195)</f>
        <v>1</v>
      </c>
      <c r="F195" s="3">
        <v>0</v>
      </c>
      <c r="G195" s="1">
        <v>0</v>
      </c>
      <c r="H195" s="1">
        <v>1</v>
      </c>
      <c r="I195" s="4">
        <f t="shared" si="6"/>
        <v>1</v>
      </c>
      <c r="L195" s="1">
        <v>1</v>
      </c>
      <c r="M195" s="1">
        <v>1</v>
      </c>
      <c r="N195" s="1">
        <v>1</v>
      </c>
      <c r="O195" t="s">
        <v>44</v>
      </c>
    </row>
    <row r="196" spans="1:15" x14ac:dyDescent="0.2">
      <c r="A196" s="7">
        <v>194</v>
      </c>
      <c r="B196" t="s">
        <v>274</v>
      </c>
      <c r="C196" t="s">
        <v>254</v>
      </c>
      <c r="D196" s="1">
        <v>20</v>
      </c>
      <c r="E196" s="2">
        <f>COUNTIF($B$2:B196, B196)</f>
        <v>1</v>
      </c>
      <c r="F196" s="3">
        <v>0</v>
      </c>
      <c r="G196" s="1">
        <v>0</v>
      </c>
      <c r="H196" s="1">
        <v>0</v>
      </c>
      <c r="I196" s="4">
        <f t="shared" si="6"/>
        <v>0</v>
      </c>
      <c r="L196" s="1">
        <v>0</v>
      </c>
      <c r="M196" s="1">
        <v>0</v>
      </c>
      <c r="N196" s="1">
        <v>0</v>
      </c>
      <c r="O196" t="s">
        <v>21</v>
      </c>
    </row>
    <row r="197" spans="1:15" x14ac:dyDescent="0.2">
      <c r="A197" s="7">
        <v>194</v>
      </c>
      <c r="B197" t="s">
        <v>275</v>
      </c>
      <c r="C197" t="s">
        <v>172</v>
      </c>
      <c r="D197" s="1">
        <v>20</v>
      </c>
      <c r="E197" s="2">
        <f>COUNTIF($B$2:B198, B198)</f>
        <v>1</v>
      </c>
      <c r="F197" s="3">
        <v>0</v>
      </c>
      <c r="G197" s="1">
        <v>0</v>
      </c>
      <c r="H197" s="1">
        <v>1</v>
      </c>
      <c r="I197" s="4">
        <f t="shared" si="6"/>
        <v>1</v>
      </c>
      <c r="L197" s="1">
        <v>1</v>
      </c>
      <c r="M197" s="1">
        <v>1</v>
      </c>
      <c r="N197" s="1">
        <v>1</v>
      </c>
      <c r="O197" t="s">
        <v>276</v>
      </c>
    </row>
    <row r="198" spans="1:15" x14ac:dyDescent="0.2">
      <c r="A198" s="7">
        <v>194</v>
      </c>
      <c r="B198" t="s">
        <v>277</v>
      </c>
      <c r="C198" t="s">
        <v>254</v>
      </c>
      <c r="D198" s="1">
        <v>20</v>
      </c>
      <c r="E198" s="2">
        <f>COUNTIF($B$2:B197, B197)</f>
        <v>1</v>
      </c>
      <c r="F198" s="3">
        <v>0</v>
      </c>
      <c r="G198" s="1">
        <v>0</v>
      </c>
      <c r="H198" s="1">
        <v>0</v>
      </c>
      <c r="I198" s="4">
        <f t="shared" si="6"/>
        <v>0</v>
      </c>
      <c r="J198" s="5" t="s">
        <v>278</v>
      </c>
    </row>
    <row r="199" spans="1:15" x14ac:dyDescent="0.2">
      <c r="A199" s="7"/>
    </row>
    <row r="200" spans="1:15" x14ac:dyDescent="0.2">
      <c r="A200" s="7"/>
    </row>
    <row r="201" spans="1:15" x14ac:dyDescent="0.2">
      <c r="A201" s="7"/>
      <c r="O201" s="16"/>
    </row>
    <row r="202" spans="1:15" x14ac:dyDescent="0.2">
      <c r="A202" s="7"/>
    </row>
    <row r="203" spans="1:15" x14ac:dyDescent="0.2">
      <c r="A203" s="7"/>
    </row>
    <row r="204" spans="1:15" x14ac:dyDescent="0.2">
      <c r="A204" s="7"/>
    </row>
    <row r="205" spans="1:15" x14ac:dyDescent="0.2">
      <c r="A205" s="7"/>
    </row>
    <row r="206" spans="1:15" x14ac:dyDescent="0.2">
      <c r="A206" s="7"/>
    </row>
    <row r="207" spans="1:15" x14ac:dyDescent="0.2">
      <c r="A207" s="7"/>
    </row>
    <row r="208" spans="1:15" x14ac:dyDescent="0.2">
      <c r="A208" s="7"/>
    </row>
    <row r="209" spans="1:15" x14ac:dyDescent="0.2">
      <c r="A209" s="7"/>
    </row>
    <row r="210" spans="1:15" x14ac:dyDescent="0.2">
      <c r="A210" s="7"/>
      <c r="O210" s="16"/>
    </row>
    <row r="211" spans="1:15" x14ac:dyDescent="0.2">
      <c r="A211" s="7"/>
    </row>
    <row r="212" spans="1:15" x14ac:dyDescent="0.2">
      <c r="A212" s="7"/>
    </row>
    <row r="213" spans="1:15" x14ac:dyDescent="0.2">
      <c r="A213" s="7"/>
      <c r="O213" s="16"/>
    </row>
    <row r="214" spans="1:15" x14ac:dyDescent="0.2">
      <c r="A214" s="7"/>
    </row>
    <row r="215" spans="1:15" x14ac:dyDescent="0.2">
      <c r="A215" s="7"/>
    </row>
    <row r="216" spans="1:15" x14ac:dyDescent="0.2">
      <c r="A216" s="7"/>
    </row>
    <row r="217" spans="1:15" x14ac:dyDescent="0.2">
      <c r="A217" s="7"/>
    </row>
    <row r="218" spans="1:15" x14ac:dyDescent="0.2">
      <c r="A218" s="7"/>
    </row>
    <row r="219" spans="1:15" x14ac:dyDescent="0.2">
      <c r="A219" s="7"/>
    </row>
    <row r="220" spans="1:15" x14ac:dyDescent="0.2">
      <c r="A220" s="7"/>
    </row>
    <row r="221" spans="1:15" x14ac:dyDescent="0.2">
      <c r="A221" s="7"/>
    </row>
    <row r="222" spans="1:15" x14ac:dyDescent="0.2">
      <c r="A222" s="7"/>
    </row>
    <row r="223" spans="1:15" x14ac:dyDescent="0.2">
      <c r="A223" s="7"/>
    </row>
    <row r="224" spans="1:15" x14ac:dyDescent="0.2">
      <c r="A224" s="7"/>
    </row>
    <row r="225" spans="1:15" x14ac:dyDescent="0.2">
      <c r="A225" s="7"/>
    </row>
    <row r="226" spans="1:15" x14ac:dyDescent="0.2">
      <c r="A226" s="7"/>
    </row>
    <row r="227" spans="1:15" x14ac:dyDescent="0.2">
      <c r="A227" s="7"/>
    </row>
    <row r="228" spans="1:15" x14ac:dyDescent="0.2">
      <c r="A228" s="7"/>
    </row>
    <row r="229" spans="1:15" x14ac:dyDescent="0.2">
      <c r="A229" s="7"/>
    </row>
    <row r="230" spans="1:15" x14ac:dyDescent="0.2">
      <c r="A230" s="7"/>
    </row>
    <row r="231" spans="1:15" x14ac:dyDescent="0.2">
      <c r="A231" s="7"/>
    </row>
    <row r="232" spans="1:15" x14ac:dyDescent="0.2">
      <c r="A232" s="7"/>
    </row>
    <row r="233" spans="1:15" x14ac:dyDescent="0.2">
      <c r="A233" s="7"/>
    </row>
    <row r="234" spans="1:15" x14ac:dyDescent="0.2">
      <c r="A234" s="7"/>
    </row>
    <row r="235" spans="1:15" x14ac:dyDescent="0.2">
      <c r="A235" s="7"/>
    </row>
    <row r="236" spans="1:15" x14ac:dyDescent="0.2">
      <c r="A236" s="7"/>
    </row>
    <row r="237" spans="1:15" x14ac:dyDescent="0.2">
      <c r="A237" s="7"/>
    </row>
    <row r="238" spans="1:15" x14ac:dyDescent="0.2">
      <c r="A238" s="7"/>
      <c r="O238" s="17"/>
    </row>
    <row r="239" spans="1:15" x14ac:dyDescent="0.2">
      <c r="A239" s="7"/>
    </row>
    <row r="240" spans="1:15" x14ac:dyDescent="0.2">
      <c r="A240" s="7"/>
    </row>
    <row r="241" spans="1:2" x14ac:dyDescent="0.2">
      <c r="A241" s="7"/>
    </row>
    <row r="242" spans="1:2" x14ac:dyDescent="0.2">
      <c r="A242" s="7"/>
    </row>
    <row r="243" spans="1:2" x14ac:dyDescent="0.2">
      <c r="A243" s="7"/>
    </row>
    <row r="244" spans="1:2" x14ac:dyDescent="0.2">
      <c r="A244" s="7"/>
    </row>
    <row r="245" spans="1:2" x14ac:dyDescent="0.2">
      <c r="A245" s="7"/>
    </row>
    <row r="246" spans="1:2" x14ac:dyDescent="0.2">
      <c r="A246" s="7"/>
    </row>
    <row r="247" spans="1:2" x14ac:dyDescent="0.2">
      <c r="A247" s="7"/>
      <c r="B247" s="18"/>
    </row>
    <row r="248" spans="1:2" x14ac:dyDescent="0.2">
      <c r="A248" s="7"/>
    </row>
    <row r="249" spans="1:2" x14ac:dyDescent="0.2">
      <c r="A249" s="7"/>
    </row>
    <row r="250" spans="1:2" x14ac:dyDescent="0.2">
      <c r="A250" s="7"/>
    </row>
    <row r="251" spans="1:2" x14ac:dyDescent="0.2">
      <c r="A251" s="7"/>
    </row>
    <row r="252" spans="1:2" x14ac:dyDescent="0.2">
      <c r="A252" s="7"/>
    </row>
    <row r="253" spans="1:2" x14ac:dyDescent="0.2">
      <c r="A253" s="7"/>
    </row>
    <row r="254" spans="1:2" x14ac:dyDescent="0.2">
      <c r="A254" s="7"/>
    </row>
    <row r="255" spans="1:2" x14ac:dyDescent="0.2">
      <c r="A255" s="7"/>
    </row>
    <row r="256" spans="1:2" x14ac:dyDescent="0.2">
      <c r="A256" s="7"/>
    </row>
    <row r="257" spans="1:15" x14ac:dyDescent="0.2">
      <c r="A257" s="7"/>
    </row>
    <row r="258" spans="1:15" x14ac:dyDescent="0.2">
      <c r="A258" s="7"/>
    </row>
    <row r="259" spans="1:15" x14ac:dyDescent="0.2">
      <c r="A259" s="7"/>
    </row>
    <row r="260" spans="1:15" x14ac:dyDescent="0.2">
      <c r="A260" s="7"/>
    </row>
    <row r="261" spans="1:15" x14ac:dyDescent="0.2">
      <c r="A261" s="7"/>
      <c r="B261" s="18"/>
    </row>
    <row r="262" spans="1:15" x14ac:dyDescent="0.2">
      <c r="A262" s="7"/>
    </row>
    <row r="263" spans="1:15" x14ac:dyDescent="0.2">
      <c r="A263" s="7"/>
    </row>
    <row r="264" spans="1:15" x14ac:dyDescent="0.2">
      <c r="A264" s="7"/>
    </row>
    <row r="265" spans="1:15" x14ac:dyDescent="0.2">
      <c r="A265" s="7"/>
    </row>
    <row r="266" spans="1:15" x14ac:dyDescent="0.2">
      <c r="A266" s="7"/>
    </row>
    <row r="267" spans="1:15" x14ac:dyDescent="0.2">
      <c r="A267" s="7"/>
    </row>
    <row r="268" spans="1:15" x14ac:dyDescent="0.2">
      <c r="A268" s="7"/>
    </row>
    <row r="269" spans="1:15" x14ac:dyDescent="0.2">
      <c r="A269" s="7"/>
    </row>
    <row r="270" spans="1:15" x14ac:dyDescent="0.2">
      <c r="A270" s="7"/>
      <c r="O270" s="17"/>
    </row>
    <row r="271" spans="1:15" x14ac:dyDescent="0.2">
      <c r="A271" s="7"/>
    </row>
    <row r="272" spans="1:15" x14ac:dyDescent="0.2">
      <c r="A272" s="7"/>
    </row>
    <row r="273" spans="1:1" x14ac:dyDescent="0.2">
      <c r="A273" s="7"/>
    </row>
    <row r="274" spans="1:1" x14ac:dyDescent="0.2">
      <c r="A274" s="7"/>
    </row>
    <row r="275" spans="1:1" x14ac:dyDescent="0.2">
      <c r="A275" s="7"/>
    </row>
    <row r="276" spans="1:1" x14ac:dyDescent="0.2">
      <c r="A276" s="7"/>
    </row>
    <row r="277" spans="1:1" x14ac:dyDescent="0.2">
      <c r="A277" s="7"/>
    </row>
    <row r="278" spans="1:1" x14ac:dyDescent="0.2">
      <c r="A278" s="7"/>
    </row>
    <row r="279" spans="1:1" x14ac:dyDescent="0.2">
      <c r="A279" s="7"/>
    </row>
    <row r="280" spans="1:1" x14ac:dyDescent="0.2">
      <c r="A280" s="7"/>
    </row>
    <row r="281" spans="1:1" x14ac:dyDescent="0.2">
      <c r="A281" s="7"/>
    </row>
    <row r="282" spans="1:1" x14ac:dyDescent="0.2">
      <c r="A282" s="7"/>
    </row>
    <row r="283" spans="1:1" x14ac:dyDescent="0.2">
      <c r="A283" s="7"/>
    </row>
    <row r="284" spans="1:1" x14ac:dyDescent="0.2">
      <c r="A284" s="7"/>
    </row>
    <row r="285" spans="1:1" x14ac:dyDescent="0.2">
      <c r="A285" s="7"/>
    </row>
    <row r="286" spans="1:1" x14ac:dyDescent="0.2">
      <c r="A286" s="7"/>
    </row>
    <row r="287" spans="1:1" x14ac:dyDescent="0.2">
      <c r="A287" s="7"/>
    </row>
    <row r="288" spans="1:1" x14ac:dyDescent="0.2">
      <c r="A288" s="7"/>
    </row>
    <row r="289" spans="1:15" x14ac:dyDescent="0.2">
      <c r="A289" s="7"/>
    </row>
    <row r="290" spans="1:15" x14ac:dyDescent="0.2">
      <c r="A290" s="7"/>
    </row>
    <row r="291" spans="1:15" x14ac:dyDescent="0.2">
      <c r="A291" s="7"/>
    </row>
    <row r="292" spans="1:15" x14ac:dyDescent="0.2">
      <c r="A292" s="7"/>
      <c r="B292" s="18"/>
    </row>
    <row r="293" spans="1:15" x14ac:dyDescent="0.2">
      <c r="A293" s="7"/>
    </row>
    <row r="294" spans="1:15" x14ac:dyDescent="0.2">
      <c r="A294" s="7"/>
    </row>
    <row r="295" spans="1:15" x14ac:dyDescent="0.2">
      <c r="A295" s="7"/>
    </row>
    <row r="296" spans="1:15" x14ac:dyDescent="0.2">
      <c r="A296" s="7"/>
      <c r="O296" s="17"/>
    </row>
    <row r="297" spans="1:15" x14ac:dyDescent="0.2">
      <c r="A297" s="7"/>
    </row>
    <row r="298" spans="1:15" x14ac:dyDescent="0.2">
      <c r="A298" s="7"/>
    </row>
    <row r="299" spans="1:15" x14ac:dyDescent="0.2">
      <c r="A299" s="7"/>
    </row>
    <row r="300" spans="1:15" x14ac:dyDescent="0.2">
      <c r="A300" s="7"/>
    </row>
    <row r="301" spans="1:15" x14ac:dyDescent="0.2">
      <c r="A301" s="7"/>
    </row>
    <row r="302" spans="1:15" x14ac:dyDescent="0.2">
      <c r="A302" s="7"/>
    </row>
    <row r="303" spans="1:15" x14ac:dyDescent="0.2">
      <c r="A303" s="7"/>
    </row>
    <row r="304" spans="1:15" x14ac:dyDescent="0.2">
      <c r="A304" s="7"/>
    </row>
    <row r="305" spans="1:2" x14ac:dyDescent="0.2">
      <c r="A305" s="7"/>
    </row>
    <row r="306" spans="1:2" x14ac:dyDescent="0.2">
      <c r="A306" s="7"/>
    </row>
    <row r="307" spans="1:2" x14ac:dyDescent="0.2">
      <c r="A307" s="7"/>
      <c r="B307" s="18"/>
    </row>
    <row r="308" spans="1:2" x14ac:dyDescent="0.2">
      <c r="A308" s="7"/>
    </row>
    <row r="309" spans="1:2" x14ac:dyDescent="0.2">
      <c r="A309" s="7"/>
    </row>
    <row r="310" spans="1:2" x14ac:dyDescent="0.2">
      <c r="A310" s="7"/>
    </row>
    <row r="311" spans="1:2" x14ac:dyDescent="0.2">
      <c r="A311" s="7"/>
    </row>
    <row r="312" spans="1:2" x14ac:dyDescent="0.2">
      <c r="A312" s="7"/>
    </row>
    <row r="313" spans="1:2" x14ac:dyDescent="0.2">
      <c r="A313" s="7"/>
    </row>
    <row r="314" spans="1:2" x14ac:dyDescent="0.2">
      <c r="A314" s="7"/>
    </row>
    <row r="315" spans="1:2" x14ac:dyDescent="0.2">
      <c r="A315" s="7"/>
    </row>
    <row r="316" spans="1:2" x14ac:dyDescent="0.2">
      <c r="A316" s="7"/>
    </row>
    <row r="317" spans="1:2" x14ac:dyDescent="0.2">
      <c r="A317" s="7"/>
    </row>
    <row r="318" spans="1:2" x14ac:dyDescent="0.2">
      <c r="A318" s="7"/>
    </row>
    <row r="319" spans="1:2" x14ac:dyDescent="0.2">
      <c r="A319" s="7"/>
    </row>
    <row r="320" spans="1:2" x14ac:dyDescent="0.2">
      <c r="A320" s="7"/>
    </row>
    <row r="321" spans="1:1" x14ac:dyDescent="0.2">
      <c r="A321" s="7"/>
    </row>
    <row r="322" spans="1:1" x14ac:dyDescent="0.2">
      <c r="A322" s="7"/>
    </row>
    <row r="323" spans="1:1" x14ac:dyDescent="0.2">
      <c r="A323" s="7"/>
    </row>
    <row r="324" spans="1:1" x14ac:dyDescent="0.2">
      <c r="A324" s="7"/>
    </row>
    <row r="325" spans="1:1" x14ac:dyDescent="0.2">
      <c r="A325" s="7"/>
    </row>
    <row r="326" spans="1:1" x14ac:dyDescent="0.2">
      <c r="A326" s="7"/>
    </row>
    <row r="327" spans="1:1" x14ac:dyDescent="0.2">
      <c r="A327" s="7"/>
    </row>
    <row r="328" spans="1:1" x14ac:dyDescent="0.2">
      <c r="A328" s="7"/>
    </row>
    <row r="329" spans="1:1" x14ac:dyDescent="0.2">
      <c r="A329" s="7"/>
    </row>
    <row r="330" spans="1:1" x14ac:dyDescent="0.2">
      <c r="A330" s="7"/>
    </row>
    <row r="331" spans="1:1" x14ac:dyDescent="0.2">
      <c r="A331" s="7"/>
    </row>
    <row r="332" spans="1:1" x14ac:dyDescent="0.2">
      <c r="A332" s="7"/>
    </row>
    <row r="333" spans="1:1" x14ac:dyDescent="0.2">
      <c r="A333" s="7"/>
    </row>
    <row r="334" spans="1:1" x14ac:dyDescent="0.2">
      <c r="A334" s="7"/>
    </row>
    <row r="335" spans="1:1" x14ac:dyDescent="0.2">
      <c r="A335" s="7"/>
    </row>
    <row r="336" spans="1:1" x14ac:dyDescent="0.2">
      <c r="A336" s="7"/>
    </row>
    <row r="337" spans="1:15" x14ac:dyDescent="0.2">
      <c r="A337" s="7"/>
      <c r="B337" s="18"/>
    </row>
    <row r="338" spans="1:15" x14ac:dyDescent="0.2">
      <c r="A338" s="7"/>
    </row>
    <row r="339" spans="1:15" x14ac:dyDescent="0.2">
      <c r="A339" s="7"/>
    </row>
    <row r="340" spans="1:15" x14ac:dyDescent="0.2">
      <c r="A340" s="7"/>
    </row>
    <row r="341" spans="1:15" x14ac:dyDescent="0.2">
      <c r="A341" s="7"/>
    </row>
    <row r="342" spans="1:15" x14ac:dyDescent="0.2">
      <c r="A342" s="7"/>
    </row>
    <row r="343" spans="1:15" x14ac:dyDescent="0.2">
      <c r="A343" s="7"/>
    </row>
    <row r="344" spans="1:15" x14ac:dyDescent="0.2">
      <c r="A344" s="7"/>
    </row>
    <row r="345" spans="1:15" x14ac:dyDescent="0.2">
      <c r="A345" s="7"/>
      <c r="O345" s="17"/>
    </row>
    <row r="346" spans="1:15" x14ac:dyDescent="0.2">
      <c r="A346" s="7"/>
    </row>
    <row r="347" spans="1:15" x14ac:dyDescent="0.2">
      <c r="A347" s="7"/>
    </row>
    <row r="348" spans="1:15" x14ac:dyDescent="0.2">
      <c r="A348" s="7"/>
    </row>
    <row r="349" spans="1:15" x14ac:dyDescent="0.2">
      <c r="A349" s="7"/>
    </row>
    <row r="350" spans="1:15" x14ac:dyDescent="0.2">
      <c r="A350" s="7"/>
    </row>
    <row r="351" spans="1:15" x14ac:dyDescent="0.2">
      <c r="A351" s="7"/>
    </row>
    <row r="352" spans="1:15" x14ac:dyDescent="0.2">
      <c r="A352" s="7"/>
    </row>
    <row r="353" spans="1:1" x14ac:dyDescent="0.2">
      <c r="A353" s="7"/>
    </row>
    <row r="354" spans="1:1" x14ac:dyDescent="0.2">
      <c r="A354" s="7"/>
    </row>
    <row r="355" spans="1:1" x14ac:dyDescent="0.2">
      <c r="A355" s="7"/>
    </row>
    <row r="356" spans="1:1" x14ac:dyDescent="0.2">
      <c r="A356" s="7"/>
    </row>
    <row r="357" spans="1:1" x14ac:dyDescent="0.2">
      <c r="A357" s="7"/>
    </row>
    <row r="358" spans="1:1" x14ac:dyDescent="0.2">
      <c r="A358" s="7"/>
    </row>
    <row r="359" spans="1:1" x14ac:dyDescent="0.2">
      <c r="A359" s="7"/>
    </row>
    <row r="360" spans="1:1" x14ac:dyDescent="0.2">
      <c r="A360" s="7"/>
    </row>
    <row r="361" spans="1:1" x14ac:dyDescent="0.2">
      <c r="A361" s="7"/>
    </row>
    <row r="362" spans="1:1" x14ac:dyDescent="0.2">
      <c r="A362" s="7"/>
    </row>
    <row r="363" spans="1:1" x14ac:dyDescent="0.2">
      <c r="A363" s="7"/>
    </row>
    <row r="364" spans="1:1" x14ac:dyDescent="0.2">
      <c r="A364" s="7"/>
    </row>
    <row r="365" spans="1:1" x14ac:dyDescent="0.2">
      <c r="A365" s="7"/>
    </row>
    <row r="366" spans="1:1" x14ac:dyDescent="0.2">
      <c r="A366" s="7"/>
    </row>
    <row r="367" spans="1:1" x14ac:dyDescent="0.2">
      <c r="A367" s="7"/>
    </row>
    <row r="368" spans="1:1" x14ac:dyDescent="0.2">
      <c r="A368" s="7"/>
    </row>
    <row r="369" spans="1:1" x14ac:dyDescent="0.2">
      <c r="A369" s="7"/>
    </row>
    <row r="370" spans="1:1" x14ac:dyDescent="0.2">
      <c r="A370" s="7"/>
    </row>
    <row r="371" spans="1:1" x14ac:dyDescent="0.2">
      <c r="A371" s="7"/>
    </row>
    <row r="372" spans="1:1" x14ac:dyDescent="0.2">
      <c r="A372" s="7"/>
    </row>
    <row r="373" spans="1:1" x14ac:dyDescent="0.2">
      <c r="A373" s="7"/>
    </row>
    <row r="374" spans="1:1" x14ac:dyDescent="0.2">
      <c r="A374" s="7"/>
    </row>
    <row r="375" spans="1:1" x14ac:dyDescent="0.2">
      <c r="A375" s="7"/>
    </row>
    <row r="376" spans="1:1" x14ac:dyDescent="0.2">
      <c r="A376" s="7"/>
    </row>
    <row r="377" spans="1:1" x14ac:dyDescent="0.2">
      <c r="A377" s="7"/>
    </row>
    <row r="378" spans="1:1" x14ac:dyDescent="0.2">
      <c r="A378" s="7"/>
    </row>
    <row r="379" spans="1:1" x14ac:dyDescent="0.2">
      <c r="A379" s="7"/>
    </row>
    <row r="380" spans="1:1" x14ac:dyDescent="0.2">
      <c r="A380" s="7"/>
    </row>
    <row r="381" spans="1:1" x14ac:dyDescent="0.2">
      <c r="A381" s="7"/>
    </row>
    <row r="382" spans="1:1" x14ac:dyDescent="0.2">
      <c r="A382" s="7"/>
    </row>
    <row r="383" spans="1:1" x14ac:dyDescent="0.2">
      <c r="A383" s="7"/>
    </row>
    <row r="384" spans="1:1" x14ac:dyDescent="0.2">
      <c r="A384" s="7"/>
    </row>
    <row r="385" spans="1:1" x14ac:dyDescent="0.2">
      <c r="A385" s="7"/>
    </row>
    <row r="386" spans="1:1" x14ac:dyDescent="0.2">
      <c r="A386" s="7"/>
    </row>
    <row r="387" spans="1:1" x14ac:dyDescent="0.2">
      <c r="A387" s="7"/>
    </row>
    <row r="388" spans="1:1" x14ac:dyDescent="0.2">
      <c r="A388" s="7"/>
    </row>
    <row r="389" spans="1:1" x14ac:dyDescent="0.2">
      <c r="A389" s="7"/>
    </row>
    <row r="390" spans="1:1" x14ac:dyDescent="0.2">
      <c r="A390" s="7"/>
    </row>
    <row r="391" spans="1:1" x14ac:dyDescent="0.2">
      <c r="A391" s="7"/>
    </row>
    <row r="392" spans="1:1" x14ac:dyDescent="0.2">
      <c r="A392" s="7"/>
    </row>
    <row r="393" spans="1:1" x14ac:dyDescent="0.2">
      <c r="A393" s="7"/>
    </row>
    <row r="394" spans="1:1" x14ac:dyDescent="0.2">
      <c r="A394" s="7"/>
    </row>
    <row r="395" spans="1:1" x14ac:dyDescent="0.2">
      <c r="A395" s="7"/>
    </row>
    <row r="396" spans="1:1" x14ac:dyDescent="0.2">
      <c r="A396" s="7"/>
    </row>
    <row r="397" spans="1:1" x14ac:dyDescent="0.2">
      <c r="A397" s="7"/>
    </row>
    <row r="398" spans="1:1" x14ac:dyDescent="0.2">
      <c r="A398" s="7"/>
    </row>
    <row r="399" spans="1:1" x14ac:dyDescent="0.2">
      <c r="A399" s="7"/>
    </row>
    <row r="400" spans="1:1" x14ac:dyDescent="0.2">
      <c r="A400" s="7"/>
    </row>
    <row r="401" spans="1:1" x14ac:dyDescent="0.2">
      <c r="A401" s="7"/>
    </row>
    <row r="402" spans="1:1" x14ac:dyDescent="0.2">
      <c r="A402" s="7"/>
    </row>
    <row r="403" spans="1:1" x14ac:dyDescent="0.2">
      <c r="A403" s="7"/>
    </row>
    <row r="404" spans="1:1" x14ac:dyDescent="0.2">
      <c r="A404" s="7"/>
    </row>
    <row r="405" spans="1:1" x14ac:dyDescent="0.2">
      <c r="A405" s="7"/>
    </row>
    <row r="406" spans="1:1" x14ac:dyDescent="0.2">
      <c r="A406" s="7"/>
    </row>
    <row r="407" spans="1:1" x14ac:dyDescent="0.2">
      <c r="A407" s="7"/>
    </row>
    <row r="408" spans="1:1" x14ac:dyDescent="0.2">
      <c r="A408" s="7"/>
    </row>
    <row r="409" spans="1:1" x14ac:dyDescent="0.2">
      <c r="A409" s="7"/>
    </row>
    <row r="410" spans="1:1" x14ac:dyDescent="0.2">
      <c r="A410" s="19"/>
    </row>
    <row r="411" spans="1:1" x14ac:dyDescent="0.2">
      <c r="A411" s="7"/>
    </row>
    <row r="412" spans="1:1" x14ac:dyDescent="0.2">
      <c r="A412" s="7"/>
    </row>
    <row r="413" spans="1:1" x14ac:dyDescent="0.2">
      <c r="A413" s="7"/>
    </row>
    <row r="414" spans="1:1" x14ac:dyDescent="0.2">
      <c r="A414" s="7"/>
    </row>
    <row r="415" spans="1:1" x14ac:dyDescent="0.2">
      <c r="A415" s="7"/>
    </row>
    <row r="416" spans="1:1" x14ac:dyDescent="0.2">
      <c r="A416" s="7"/>
    </row>
    <row r="417" spans="1:1" x14ac:dyDescent="0.2">
      <c r="A417" s="7"/>
    </row>
    <row r="418" spans="1:1" x14ac:dyDescent="0.2">
      <c r="A418" s="7"/>
    </row>
    <row r="419" spans="1:1" x14ac:dyDescent="0.2">
      <c r="A419" s="7"/>
    </row>
    <row r="420" spans="1:1" x14ac:dyDescent="0.2">
      <c r="A420" s="7"/>
    </row>
    <row r="421" spans="1:1" x14ac:dyDescent="0.2">
      <c r="A421" s="7"/>
    </row>
    <row r="422" spans="1:1" x14ac:dyDescent="0.2">
      <c r="A422" s="7"/>
    </row>
    <row r="423" spans="1:1" x14ac:dyDescent="0.2">
      <c r="A423" s="7"/>
    </row>
    <row r="424" spans="1:1" x14ac:dyDescent="0.2">
      <c r="A424" s="7"/>
    </row>
    <row r="425" spans="1:1" x14ac:dyDescent="0.2">
      <c r="A425" s="7"/>
    </row>
    <row r="426" spans="1:1" x14ac:dyDescent="0.2">
      <c r="A426" s="7"/>
    </row>
    <row r="427" spans="1:1" x14ac:dyDescent="0.2">
      <c r="A427" s="7"/>
    </row>
    <row r="428" spans="1:1" x14ac:dyDescent="0.2">
      <c r="A428" s="7"/>
    </row>
    <row r="429" spans="1:1" x14ac:dyDescent="0.2">
      <c r="A429" s="7"/>
    </row>
    <row r="430" spans="1:1" x14ac:dyDescent="0.2">
      <c r="A430" s="7"/>
    </row>
    <row r="431" spans="1:1" x14ac:dyDescent="0.2">
      <c r="A431" s="7"/>
    </row>
    <row r="432" spans="1:1" x14ac:dyDescent="0.2">
      <c r="A432" s="7"/>
    </row>
    <row r="433" spans="1:1" x14ac:dyDescent="0.2">
      <c r="A433" s="7"/>
    </row>
    <row r="434" spans="1:1" x14ac:dyDescent="0.2">
      <c r="A434" s="7"/>
    </row>
    <row r="435" spans="1:1" x14ac:dyDescent="0.2">
      <c r="A435" s="7"/>
    </row>
    <row r="436" spans="1:1" x14ac:dyDescent="0.2">
      <c r="A436" s="7"/>
    </row>
    <row r="437" spans="1:1" x14ac:dyDescent="0.2">
      <c r="A437" s="7"/>
    </row>
    <row r="438" spans="1:1" x14ac:dyDescent="0.2">
      <c r="A438" s="7"/>
    </row>
    <row r="439" spans="1:1" x14ac:dyDescent="0.2">
      <c r="A439" s="7"/>
    </row>
    <row r="440" spans="1:1" x14ac:dyDescent="0.2">
      <c r="A440" s="7"/>
    </row>
    <row r="441" spans="1:1" x14ac:dyDescent="0.2">
      <c r="A441" s="7"/>
    </row>
    <row r="442" spans="1:1" x14ac:dyDescent="0.2">
      <c r="A442" s="7"/>
    </row>
    <row r="443" spans="1:1" x14ac:dyDescent="0.2">
      <c r="A443" s="7"/>
    </row>
    <row r="444" spans="1:1" x14ac:dyDescent="0.2">
      <c r="A444" s="7"/>
    </row>
    <row r="445" spans="1:1" x14ac:dyDescent="0.2">
      <c r="A445" s="7"/>
    </row>
    <row r="446" spans="1:1" x14ac:dyDescent="0.2">
      <c r="A446" s="7"/>
    </row>
    <row r="447" spans="1:1" x14ac:dyDescent="0.2">
      <c r="A447" s="7"/>
    </row>
    <row r="448" spans="1:1" x14ac:dyDescent="0.2">
      <c r="A448" s="7"/>
    </row>
    <row r="449" spans="1:1" x14ac:dyDescent="0.2">
      <c r="A449" s="7"/>
    </row>
    <row r="450" spans="1:1" x14ac:dyDescent="0.2">
      <c r="A450" s="7"/>
    </row>
    <row r="451" spans="1:1" x14ac:dyDescent="0.2">
      <c r="A451" s="7"/>
    </row>
    <row r="452" spans="1:1" x14ac:dyDescent="0.2">
      <c r="A452" s="7"/>
    </row>
    <row r="453" spans="1:1" x14ac:dyDescent="0.2">
      <c r="A453" s="7"/>
    </row>
    <row r="454" spans="1:1" x14ac:dyDescent="0.2">
      <c r="A454" s="7"/>
    </row>
    <row r="455" spans="1:1" x14ac:dyDescent="0.2">
      <c r="A455" s="7"/>
    </row>
    <row r="456" spans="1:1" x14ac:dyDescent="0.2">
      <c r="A456" s="7"/>
    </row>
    <row r="457" spans="1:1" x14ac:dyDescent="0.2">
      <c r="A457" s="7"/>
    </row>
    <row r="458" spans="1:1" x14ac:dyDescent="0.2">
      <c r="A458" s="7"/>
    </row>
    <row r="459" spans="1:1" x14ac:dyDescent="0.2">
      <c r="A459" s="7"/>
    </row>
    <row r="460" spans="1:1" x14ac:dyDescent="0.2">
      <c r="A460" s="7"/>
    </row>
    <row r="461" spans="1:1" x14ac:dyDescent="0.2">
      <c r="A461" s="7"/>
    </row>
    <row r="462" spans="1:1" x14ac:dyDescent="0.2">
      <c r="A462" s="7"/>
    </row>
    <row r="463" spans="1:1" x14ac:dyDescent="0.2">
      <c r="A463" s="7"/>
    </row>
    <row r="464" spans="1:1" x14ac:dyDescent="0.2">
      <c r="A464" s="7"/>
    </row>
    <row r="465" spans="1:1" x14ac:dyDescent="0.2">
      <c r="A465" s="7"/>
    </row>
    <row r="466" spans="1:1" x14ac:dyDescent="0.2">
      <c r="A466" s="7"/>
    </row>
    <row r="467" spans="1:1" x14ac:dyDescent="0.2">
      <c r="A467" s="7"/>
    </row>
    <row r="468" spans="1:1" x14ac:dyDescent="0.2">
      <c r="A468" s="7"/>
    </row>
    <row r="469" spans="1:1" x14ac:dyDescent="0.2">
      <c r="A469" s="7"/>
    </row>
    <row r="470" spans="1:1" x14ac:dyDescent="0.2">
      <c r="A470" s="7"/>
    </row>
    <row r="471" spans="1:1" x14ac:dyDescent="0.2">
      <c r="A471" s="7"/>
    </row>
    <row r="472" spans="1:1" x14ac:dyDescent="0.2">
      <c r="A472" s="7"/>
    </row>
    <row r="473" spans="1:1" x14ac:dyDescent="0.2">
      <c r="A473" s="7"/>
    </row>
    <row r="474" spans="1:1" x14ac:dyDescent="0.2">
      <c r="A474" s="7"/>
    </row>
    <row r="475" spans="1:1" x14ac:dyDescent="0.2">
      <c r="A475" s="7"/>
    </row>
    <row r="476" spans="1:1" x14ac:dyDescent="0.2">
      <c r="A476" s="7"/>
    </row>
    <row r="477" spans="1:1" x14ac:dyDescent="0.2">
      <c r="A477" s="7"/>
    </row>
    <row r="478" spans="1:1" x14ac:dyDescent="0.2">
      <c r="A478" s="7"/>
    </row>
    <row r="479" spans="1:1" x14ac:dyDescent="0.2">
      <c r="A479" s="7"/>
    </row>
    <row r="480" spans="1:1" x14ac:dyDescent="0.2">
      <c r="A480" s="7"/>
    </row>
    <row r="481" spans="1:15" x14ac:dyDescent="0.2">
      <c r="A481" s="7"/>
      <c r="O481" s="17"/>
    </row>
    <row r="482" spans="1:15" x14ac:dyDescent="0.2">
      <c r="A482" s="7"/>
      <c r="B482" s="20"/>
    </row>
    <row r="483" spans="1:15" x14ac:dyDescent="0.2">
      <c r="A483" s="7"/>
      <c r="B483" s="20"/>
    </row>
    <row r="484" spans="1:15" x14ac:dyDescent="0.2">
      <c r="A484" s="7"/>
    </row>
    <row r="485" spans="1:15" x14ac:dyDescent="0.2">
      <c r="A485" s="7"/>
      <c r="B485" s="20"/>
    </row>
    <row r="486" spans="1:15" x14ac:dyDescent="0.2">
      <c r="A486" s="7"/>
    </row>
    <row r="487" spans="1:15" x14ac:dyDescent="0.2">
      <c r="A487" s="7"/>
    </row>
    <row r="488" spans="1:15" x14ac:dyDescent="0.2">
      <c r="A488" s="7"/>
    </row>
    <row r="489" spans="1:15" x14ac:dyDescent="0.2">
      <c r="A489" s="7"/>
      <c r="B489" s="20"/>
    </row>
    <row r="490" spans="1:15" x14ac:dyDescent="0.2">
      <c r="A490" s="7"/>
    </row>
    <row r="491" spans="1:15" x14ac:dyDescent="0.2">
      <c r="A491" s="7"/>
    </row>
    <row r="492" spans="1:15" x14ac:dyDescent="0.2">
      <c r="A492" s="7"/>
      <c r="B492" s="20"/>
    </row>
    <row r="493" spans="1:15" x14ac:dyDescent="0.2">
      <c r="A493" s="7"/>
      <c r="B493" s="20"/>
    </row>
    <row r="494" spans="1:15" x14ac:dyDescent="0.2">
      <c r="A494" s="7"/>
      <c r="B494" s="20"/>
    </row>
    <row r="495" spans="1:15" x14ac:dyDescent="0.2">
      <c r="A495" s="7"/>
      <c r="B495" s="20"/>
    </row>
    <row r="496" spans="1:15" x14ac:dyDescent="0.2">
      <c r="A496" s="7"/>
    </row>
    <row r="497" spans="1:2" x14ac:dyDescent="0.2">
      <c r="A497" s="7"/>
      <c r="B497" s="20"/>
    </row>
    <row r="498" spans="1:2" x14ac:dyDescent="0.2">
      <c r="A498" s="7"/>
    </row>
    <row r="499" spans="1:2" x14ac:dyDescent="0.2">
      <c r="A499" s="7"/>
      <c r="B499" s="20"/>
    </row>
    <row r="500" spans="1:2" x14ac:dyDescent="0.2">
      <c r="A500" s="7"/>
      <c r="B500" s="20"/>
    </row>
    <row r="501" spans="1:2" x14ac:dyDescent="0.2">
      <c r="A501" s="7"/>
      <c r="B501" s="20"/>
    </row>
    <row r="502" spans="1:2" x14ac:dyDescent="0.2">
      <c r="A502" s="7"/>
    </row>
    <row r="503" spans="1:2" x14ac:dyDescent="0.2">
      <c r="A503" s="7"/>
    </row>
    <row r="504" spans="1:2" x14ac:dyDescent="0.2">
      <c r="A504" s="7"/>
      <c r="B504" s="20"/>
    </row>
    <row r="505" spans="1:2" x14ac:dyDescent="0.2">
      <c r="A505" s="7"/>
      <c r="B505" s="20"/>
    </row>
    <row r="506" spans="1:2" x14ac:dyDescent="0.2">
      <c r="A506" s="7"/>
    </row>
    <row r="507" spans="1:2" x14ac:dyDescent="0.2">
      <c r="A507" s="7"/>
      <c r="B507" s="20"/>
    </row>
    <row r="508" spans="1:2" x14ac:dyDescent="0.2">
      <c r="A508" s="7"/>
    </row>
    <row r="509" spans="1:2" x14ac:dyDescent="0.2">
      <c r="A509" s="7"/>
      <c r="B509" s="20"/>
    </row>
    <row r="510" spans="1:2" x14ac:dyDescent="0.2">
      <c r="A510" s="7"/>
    </row>
    <row r="511" spans="1:2" x14ac:dyDescent="0.2">
      <c r="A511" s="7"/>
    </row>
    <row r="512" spans="1:2" x14ac:dyDescent="0.2">
      <c r="A512" s="7"/>
    </row>
    <row r="513" spans="1:2" x14ac:dyDescent="0.2">
      <c r="A513" s="7"/>
    </row>
    <row r="514" spans="1:2" x14ac:dyDescent="0.2">
      <c r="A514" s="7"/>
    </row>
    <row r="515" spans="1:2" x14ac:dyDescent="0.2">
      <c r="A515" s="7"/>
    </row>
    <row r="516" spans="1:2" x14ac:dyDescent="0.2">
      <c r="A516" s="7"/>
      <c r="B516" s="20"/>
    </row>
    <row r="517" spans="1:2" x14ac:dyDescent="0.2">
      <c r="A517" s="7"/>
    </row>
    <row r="518" spans="1:2" x14ac:dyDescent="0.2">
      <c r="A518" s="7"/>
      <c r="B518" s="20"/>
    </row>
    <row r="519" spans="1:2" x14ac:dyDescent="0.2">
      <c r="A519" s="7"/>
      <c r="B519" s="20"/>
    </row>
    <row r="520" spans="1:2" x14ac:dyDescent="0.2">
      <c r="A520" s="7"/>
      <c r="B520" s="20"/>
    </row>
    <row r="521" spans="1:2" x14ac:dyDescent="0.2">
      <c r="A521" s="7"/>
    </row>
    <row r="522" spans="1:2" x14ac:dyDescent="0.2">
      <c r="A522" s="7"/>
    </row>
    <row r="523" spans="1:2" x14ac:dyDescent="0.2">
      <c r="A523" s="7"/>
    </row>
    <row r="524" spans="1:2" x14ac:dyDescent="0.2">
      <c r="A524" s="7"/>
    </row>
    <row r="525" spans="1:2" x14ac:dyDescent="0.2">
      <c r="A525" s="7"/>
    </row>
    <row r="526" spans="1:2" x14ac:dyDescent="0.2">
      <c r="A526" s="7"/>
    </row>
    <row r="527" spans="1:2" x14ac:dyDescent="0.2">
      <c r="A527" s="7"/>
    </row>
    <row r="528" spans="1:2" x14ac:dyDescent="0.2">
      <c r="A528" s="7"/>
    </row>
    <row r="529" spans="1:1" x14ac:dyDescent="0.2">
      <c r="A529" s="7"/>
    </row>
    <row r="530" spans="1:1" x14ac:dyDescent="0.2">
      <c r="A530" s="7"/>
    </row>
    <row r="531" spans="1:1" x14ac:dyDescent="0.2">
      <c r="A531" s="7"/>
    </row>
    <row r="532" spans="1:1" x14ac:dyDescent="0.2">
      <c r="A532" s="7"/>
    </row>
    <row r="533" spans="1:1" x14ac:dyDescent="0.2">
      <c r="A533" s="7"/>
    </row>
    <row r="534" spans="1:1" x14ac:dyDescent="0.2">
      <c r="A534" s="7"/>
    </row>
    <row r="535" spans="1:1" x14ac:dyDescent="0.2">
      <c r="A535" s="7"/>
    </row>
    <row r="536" spans="1:1" x14ac:dyDescent="0.2">
      <c r="A536" s="7"/>
    </row>
    <row r="537" spans="1:1" x14ac:dyDescent="0.2">
      <c r="A537" s="7"/>
    </row>
    <row r="538" spans="1:1" x14ac:dyDescent="0.2">
      <c r="A538" s="7"/>
    </row>
    <row r="539" spans="1:1" x14ac:dyDescent="0.2">
      <c r="A539" s="7"/>
    </row>
    <row r="540" spans="1:1" x14ac:dyDescent="0.2">
      <c r="A540" s="7"/>
    </row>
    <row r="541" spans="1:1" x14ac:dyDescent="0.2">
      <c r="A541" s="7"/>
    </row>
    <row r="542" spans="1:1" x14ac:dyDescent="0.2">
      <c r="A542" s="7"/>
    </row>
    <row r="543" spans="1:1" x14ac:dyDescent="0.2">
      <c r="A543" s="7"/>
    </row>
    <row r="544" spans="1:1" x14ac:dyDescent="0.2">
      <c r="A544" s="7"/>
    </row>
    <row r="545" spans="1:1" x14ac:dyDescent="0.2">
      <c r="A545" s="7"/>
    </row>
    <row r="546" spans="1:1" x14ac:dyDescent="0.2">
      <c r="A546" s="7"/>
    </row>
    <row r="547" spans="1:1" x14ac:dyDescent="0.2">
      <c r="A547" s="7"/>
    </row>
    <row r="548" spans="1:1" x14ac:dyDescent="0.2">
      <c r="A548" s="7"/>
    </row>
    <row r="549" spans="1:1" x14ac:dyDescent="0.2">
      <c r="A549" s="7"/>
    </row>
    <row r="550" spans="1:1" x14ac:dyDescent="0.2">
      <c r="A550" s="7"/>
    </row>
    <row r="551" spans="1:1" x14ac:dyDescent="0.2">
      <c r="A551" s="7"/>
    </row>
    <row r="552" spans="1:1" x14ac:dyDescent="0.2">
      <c r="A552" s="7"/>
    </row>
    <row r="553" spans="1:1" x14ac:dyDescent="0.2">
      <c r="A553" s="7"/>
    </row>
    <row r="554" spans="1:1" x14ac:dyDescent="0.2">
      <c r="A554" s="7"/>
    </row>
    <row r="555" spans="1:1" x14ac:dyDescent="0.2">
      <c r="A555" s="7"/>
    </row>
    <row r="556" spans="1:1" x14ac:dyDescent="0.2">
      <c r="A556" s="7"/>
    </row>
    <row r="557" spans="1:1" x14ac:dyDescent="0.2">
      <c r="A557" s="7"/>
    </row>
    <row r="558" spans="1:1" x14ac:dyDescent="0.2">
      <c r="A558" s="7"/>
    </row>
    <row r="559" spans="1:1" x14ac:dyDescent="0.2">
      <c r="A559" s="7"/>
    </row>
    <row r="560" spans="1:1" x14ac:dyDescent="0.2">
      <c r="A560" s="7"/>
    </row>
    <row r="561" spans="1:1" x14ac:dyDescent="0.2">
      <c r="A561" s="7"/>
    </row>
    <row r="562" spans="1:1" x14ac:dyDescent="0.2">
      <c r="A562" s="7"/>
    </row>
    <row r="563" spans="1:1" x14ac:dyDescent="0.2">
      <c r="A563" s="7"/>
    </row>
    <row r="564" spans="1:1" x14ac:dyDescent="0.2">
      <c r="A564" s="7"/>
    </row>
    <row r="565" spans="1:1" x14ac:dyDescent="0.2">
      <c r="A565" s="7"/>
    </row>
    <row r="566" spans="1:1" x14ac:dyDescent="0.2">
      <c r="A566" s="7"/>
    </row>
    <row r="567" spans="1:1" x14ac:dyDescent="0.2">
      <c r="A567" s="7"/>
    </row>
    <row r="568" spans="1:1" x14ac:dyDescent="0.2">
      <c r="A568" s="7"/>
    </row>
    <row r="569" spans="1:1" x14ac:dyDescent="0.2">
      <c r="A569" s="7"/>
    </row>
    <row r="570" spans="1:1" x14ac:dyDescent="0.2">
      <c r="A570" s="7"/>
    </row>
    <row r="571" spans="1:1" x14ac:dyDescent="0.2">
      <c r="A571" s="7"/>
    </row>
    <row r="572" spans="1:1" x14ac:dyDescent="0.2">
      <c r="A572" s="7"/>
    </row>
    <row r="573" spans="1:1" x14ac:dyDescent="0.2">
      <c r="A573" s="7"/>
    </row>
    <row r="574" spans="1:1" x14ac:dyDescent="0.2">
      <c r="A574" s="7"/>
    </row>
    <row r="575" spans="1:1" x14ac:dyDescent="0.2">
      <c r="A575" s="7"/>
    </row>
    <row r="576" spans="1:1" x14ac:dyDescent="0.2">
      <c r="A576" s="7"/>
    </row>
    <row r="577" spans="1:1" x14ac:dyDescent="0.2">
      <c r="A577" s="7"/>
    </row>
    <row r="578" spans="1:1" x14ac:dyDescent="0.2">
      <c r="A578" s="7"/>
    </row>
    <row r="579" spans="1:1" x14ac:dyDescent="0.2">
      <c r="A579" s="7"/>
    </row>
    <row r="580" spans="1:1" x14ac:dyDescent="0.2">
      <c r="A580" s="7"/>
    </row>
    <row r="581" spans="1:1" x14ac:dyDescent="0.2">
      <c r="A581" s="7"/>
    </row>
    <row r="582" spans="1:1" x14ac:dyDescent="0.2">
      <c r="A582" s="7"/>
    </row>
    <row r="583" spans="1:1" x14ac:dyDescent="0.2">
      <c r="A583" s="7"/>
    </row>
    <row r="584" spans="1:1" x14ac:dyDescent="0.2">
      <c r="A584" s="7"/>
    </row>
    <row r="585" spans="1:1" x14ac:dyDescent="0.2">
      <c r="A585" s="7"/>
    </row>
    <row r="586" spans="1:1" x14ac:dyDescent="0.2">
      <c r="A586" s="7"/>
    </row>
    <row r="587" spans="1:1" x14ac:dyDescent="0.2">
      <c r="A587" s="7"/>
    </row>
    <row r="588" spans="1:1" x14ac:dyDescent="0.2">
      <c r="A588" s="7"/>
    </row>
    <row r="589" spans="1:1" x14ac:dyDescent="0.2">
      <c r="A589" s="7"/>
    </row>
    <row r="590" spans="1:1" x14ac:dyDescent="0.2">
      <c r="A590" s="7"/>
    </row>
    <row r="591" spans="1:1" x14ac:dyDescent="0.2">
      <c r="A591" s="7"/>
    </row>
    <row r="592" spans="1:1" x14ac:dyDescent="0.2">
      <c r="A592" s="7"/>
    </row>
    <row r="593" spans="1:1" x14ac:dyDescent="0.2">
      <c r="A593" s="7"/>
    </row>
    <row r="594" spans="1:1" x14ac:dyDescent="0.2">
      <c r="A594" s="7"/>
    </row>
    <row r="595" spans="1:1" x14ac:dyDescent="0.2">
      <c r="A595" s="7"/>
    </row>
    <row r="596" spans="1:1" x14ac:dyDescent="0.2">
      <c r="A596" s="7"/>
    </row>
    <row r="597" spans="1:1" x14ac:dyDescent="0.2">
      <c r="A597" s="7"/>
    </row>
    <row r="598" spans="1:1" x14ac:dyDescent="0.2">
      <c r="A598" s="7"/>
    </row>
    <row r="599" spans="1:1" x14ac:dyDescent="0.2">
      <c r="A599" s="7"/>
    </row>
    <row r="600" spans="1:1" x14ac:dyDescent="0.2">
      <c r="A600" s="7"/>
    </row>
    <row r="601" spans="1:1" x14ac:dyDescent="0.2">
      <c r="A601" s="7"/>
    </row>
    <row r="602" spans="1:1" x14ac:dyDescent="0.2">
      <c r="A602" s="7"/>
    </row>
    <row r="603" spans="1:1" x14ac:dyDescent="0.2">
      <c r="A603" s="7"/>
    </row>
    <row r="604" spans="1:1" x14ac:dyDescent="0.2">
      <c r="A604" s="7"/>
    </row>
    <row r="605" spans="1:1" x14ac:dyDescent="0.2">
      <c r="A605" s="7"/>
    </row>
    <row r="606" spans="1:1" x14ac:dyDescent="0.2">
      <c r="A606" s="7"/>
    </row>
    <row r="607" spans="1:1" x14ac:dyDescent="0.2">
      <c r="A607" s="7"/>
    </row>
    <row r="608" spans="1:1" x14ac:dyDescent="0.2">
      <c r="A608" s="7"/>
    </row>
    <row r="609" spans="1:1" x14ac:dyDescent="0.2">
      <c r="A609" s="7"/>
    </row>
    <row r="610" spans="1:1" x14ac:dyDescent="0.2">
      <c r="A610" s="7"/>
    </row>
    <row r="611" spans="1:1" x14ac:dyDescent="0.2">
      <c r="A611" s="7"/>
    </row>
    <row r="612" spans="1:1" x14ac:dyDescent="0.2">
      <c r="A612" s="7"/>
    </row>
    <row r="613" spans="1:1" x14ac:dyDescent="0.2">
      <c r="A613" s="7"/>
    </row>
    <row r="614" spans="1:1" x14ac:dyDescent="0.2">
      <c r="A614" s="7"/>
    </row>
    <row r="615" spans="1:1" x14ac:dyDescent="0.2">
      <c r="A615" s="7"/>
    </row>
    <row r="616" spans="1:1" x14ac:dyDescent="0.2">
      <c r="A616" s="7"/>
    </row>
    <row r="617" spans="1:1" x14ac:dyDescent="0.2">
      <c r="A617" s="7"/>
    </row>
    <row r="618" spans="1:1" x14ac:dyDescent="0.2">
      <c r="A618" s="7"/>
    </row>
    <row r="619" spans="1:1" x14ac:dyDescent="0.2">
      <c r="A619" s="7"/>
    </row>
    <row r="620" spans="1:1" x14ac:dyDescent="0.2">
      <c r="A620" s="7"/>
    </row>
    <row r="621" spans="1:1" x14ac:dyDescent="0.2">
      <c r="A621" s="7"/>
    </row>
    <row r="622" spans="1:1" x14ac:dyDescent="0.2">
      <c r="A622" s="7"/>
    </row>
    <row r="623" spans="1:1" x14ac:dyDescent="0.2">
      <c r="A623" s="7"/>
    </row>
    <row r="624" spans="1:1" x14ac:dyDescent="0.2">
      <c r="A624" s="7"/>
    </row>
    <row r="625" spans="1:1" x14ac:dyDescent="0.2">
      <c r="A625" s="7"/>
    </row>
    <row r="626" spans="1:1" x14ac:dyDescent="0.2">
      <c r="A626" s="7"/>
    </row>
    <row r="627" spans="1:1" x14ac:dyDescent="0.2">
      <c r="A627" s="7"/>
    </row>
    <row r="628" spans="1:1" x14ac:dyDescent="0.2">
      <c r="A628" s="7"/>
    </row>
    <row r="629" spans="1:1" x14ac:dyDescent="0.2">
      <c r="A629" s="7"/>
    </row>
    <row r="630" spans="1:1" x14ac:dyDescent="0.2">
      <c r="A630" s="7"/>
    </row>
    <row r="631" spans="1:1" x14ac:dyDescent="0.2">
      <c r="A631" s="7"/>
    </row>
    <row r="632" spans="1:1" x14ac:dyDescent="0.2">
      <c r="A632" s="7"/>
    </row>
    <row r="633" spans="1:1" x14ac:dyDescent="0.2">
      <c r="A633" s="7"/>
    </row>
    <row r="634" spans="1:1" x14ac:dyDescent="0.2">
      <c r="A634" s="7"/>
    </row>
    <row r="635" spans="1:1" x14ac:dyDescent="0.2">
      <c r="A635" s="7"/>
    </row>
    <row r="636" spans="1:1" x14ac:dyDescent="0.2">
      <c r="A636" s="7"/>
    </row>
    <row r="637" spans="1:1" x14ac:dyDescent="0.2">
      <c r="A637" s="7"/>
    </row>
    <row r="638" spans="1:1" x14ac:dyDescent="0.2">
      <c r="A638" s="7"/>
    </row>
    <row r="639" spans="1:1" x14ac:dyDescent="0.2">
      <c r="A639" s="7"/>
    </row>
    <row r="640" spans="1:1" x14ac:dyDescent="0.2">
      <c r="A640" s="7"/>
    </row>
    <row r="641" spans="1:1" x14ac:dyDescent="0.2">
      <c r="A641" s="7"/>
    </row>
    <row r="642" spans="1:1" x14ac:dyDescent="0.2">
      <c r="A642" s="7"/>
    </row>
    <row r="643" spans="1:1" x14ac:dyDescent="0.2">
      <c r="A643" s="7"/>
    </row>
    <row r="644" spans="1:1" x14ac:dyDescent="0.2">
      <c r="A644" s="7"/>
    </row>
    <row r="645" spans="1:1" x14ac:dyDescent="0.2">
      <c r="A645" s="7"/>
    </row>
    <row r="646" spans="1:1" x14ac:dyDescent="0.2">
      <c r="A646" s="7"/>
    </row>
    <row r="647" spans="1:1" x14ac:dyDescent="0.2">
      <c r="A647" s="7"/>
    </row>
    <row r="648" spans="1:1" x14ac:dyDescent="0.2">
      <c r="A648" s="7"/>
    </row>
    <row r="649" spans="1:1" x14ac:dyDescent="0.2">
      <c r="A649" s="7"/>
    </row>
    <row r="650" spans="1:1" x14ac:dyDescent="0.2">
      <c r="A650" s="7"/>
    </row>
    <row r="651" spans="1:1" x14ac:dyDescent="0.2">
      <c r="A651" s="7"/>
    </row>
    <row r="652" spans="1:1" x14ac:dyDescent="0.2">
      <c r="A652" s="7"/>
    </row>
    <row r="653" spans="1:1" x14ac:dyDescent="0.2">
      <c r="A653" s="7"/>
    </row>
    <row r="654" spans="1:1" x14ac:dyDescent="0.2">
      <c r="A654" s="7"/>
    </row>
    <row r="655" spans="1:1" x14ac:dyDescent="0.2">
      <c r="A655" s="7"/>
    </row>
    <row r="656" spans="1:1" x14ac:dyDescent="0.2">
      <c r="A656" s="7"/>
    </row>
    <row r="657" spans="1:1" x14ac:dyDescent="0.2">
      <c r="A657" s="7"/>
    </row>
    <row r="658" spans="1:1" x14ac:dyDescent="0.2">
      <c r="A658" s="7"/>
    </row>
    <row r="659" spans="1:1" x14ac:dyDescent="0.2">
      <c r="A659" s="7"/>
    </row>
    <row r="660" spans="1:1" x14ac:dyDescent="0.2">
      <c r="A660" s="7"/>
    </row>
    <row r="661" spans="1:1" x14ac:dyDescent="0.2">
      <c r="A661" s="7"/>
    </row>
    <row r="662" spans="1:1" x14ac:dyDescent="0.2">
      <c r="A662" s="7"/>
    </row>
    <row r="663" spans="1:1" x14ac:dyDescent="0.2">
      <c r="A663" s="7"/>
    </row>
    <row r="664" spans="1:1" x14ac:dyDescent="0.2">
      <c r="A664" s="7"/>
    </row>
    <row r="665" spans="1:1" x14ac:dyDescent="0.2">
      <c r="A665" s="7"/>
    </row>
    <row r="666" spans="1:1" x14ac:dyDescent="0.2">
      <c r="A666" s="7"/>
    </row>
    <row r="667" spans="1:1" x14ac:dyDescent="0.2">
      <c r="A667" s="7"/>
    </row>
    <row r="668" spans="1:1" x14ac:dyDescent="0.2">
      <c r="A668" s="7"/>
    </row>
    <row r="669" spans="1:1" x14ac:dyDescent="0.2">
      <c r="A669" s="7"/>
    </row>
    <row r="670" spans="1:1" x14ac:dyDescent="0.2">
      <c r="A670" s="7"/>
    </row>
    <row r="671" spans="1:1" x14ac:dyDescent="0.2">
      <c r="A671" s="7"/>
    </row>
    <row r="672" spans="1:1" x14ac:dyDescent="0.2">
      <c r="A672" s="7"/>
    </row>
    <row r="673" spans="1:1" x14ac:dyDescent="0.2">
      <c r="A673" s="7"/>
    </row>
    <row r="674" spans="1:1" x14ac:dyDescent="0.2">
      <c r="A674" s="7"/>
    </row>
    <row r="675" spans="1:1" x14ac:dyDescent="0.2">
      <c r="A675" s="7"/>
    </row>
    <row r="676" spans="1:1" x14ac:dyDescent="0.2">
      <c r="A676" s="7"/>
    </row>
    <row r="677" spans="1:1" x14ac:dyDescent="0.2">
      <c r="A677" s="7"/>
    </row>
    <row r="678" spans="1:1" x14ac:dyDescent="0.2">
      <c r="A678" s="7"/>
    </row>
    <row r="679" spans="1:1" x14ac:dyDescent="0.2">
      <c r="A679" s="7"/>
    </row>
    <row r="680" spans="1:1" x14ac:dyDescent="0.2">
      <c r="A680" s="7"/>
    </row>
    <row r="681" spans="1:1" x14ac:dyDescent="0.2">
      <c r="A681" s="7"/>
    </row>
    <row r="682" spans="1:1" x14ac:dyDescent="0.2">
      <c r="A682" s="7"/>
    </row>
    <row r="683" spans="1:1" x14ac:dyDescent="0.2">
      <c r="A683" s="7"/>
    </row>
    <row r="684" spans="1:1" x14ac:dyDescent="0.2">
      <c r="A684" s="7"/>
    </row>
    <row r="685" spans="1:1" x14ac:dyDescent="0.2">
      <c r="A685" s="7"/>
    </row>
    <row r="686" spans="1:1" x14ac:dyDescent="0.2">
      <c r="A686" s="7"/>
    </row>
    <row r="687" spans="1:1" x14ac:dyDescent="0.2">
      <c r="A687" s="7"/>
    </row>
    <row r="688" spans="1:1" x14ac:dyDescent="0.2">
      <c r="A688" s="7"/>
    </row>
    <row r="689" spans="1:1" x14ac:dyDescent="0.2">
      <c r="A689" s="7"/>
    </row>
    <row r="690" spans="1:1" x14ac:dyDescent="0.2">
      <c r="A690" s="7"/>
    </row>
    <row r="691" spans="1:1" x14ac:dyDescent="0.2">
      <c r="A691" s="7"/>
    </row>
    <row r="692" spans="1:1" x14ac:dyDescent="0.2">
      <c r="A692" s="7"/>
    </row>
    <row r="693" spans="1:1" x14ac:dyDescent="0.2">
      <c r="A693" s="7"/>
    </row>
    <row r="694" spans="1:1" x14ac:dyDescent="0.2">
      <c r="A694" s="7"/>
    </row>
    <row r="695" spans="1:1" x14ac:dyDescent="0.2">
      <c r="A695" s="7"/>
    </row>
    <row r="696" spans="1:1" x14ac:dyDescent="0.2">
      <c r="A696" s="7"/>
    </row>
    <row r="697" spans="1:1" x14ac:dyDescent="0.2">
      <c r="A697" s="7"/>
    </row>
    <row r="698" spans="1:1" x14ac:dyDescent="0.2">
      <c r="A698" s="7"/>
    </row>
    <row r="699" spans="1:1" x14ac:dyDescent="0.2">
      <c r="A699" s="7"/>
    </row>
    <row r="700" spans="1:1" x14ac:dyDescent="0.2">
      <c r="A700" s="7"/>
    </row>
    <row r="701" spans="1:1" x14ac:dyDescent="0.2">
      <c r="A701" s="7"/>
    </row>
    <row r="702" spans="1:1" x14ac:dyDescent="0.2">
      <c r="A702" s="7"/>
    </row>
    <row r="703" spans="1:1" x14ac:dyDescent="0.2">
      <c r="A703" s="7"/>
    </row>
    <row r="704" spans="1:1" x14ac:dyDescent="0.2">
      <c r="A704" s="7"/>
    </row>
    <row r="705" spans="1:1" x14ac:dyDescent="0.2">
      <c r="A705" s="7"/>
    </row>
    <row r="706" spans="1:1" x14ac:dyDescent="0.2">
      <c r="A706" s="7"/>
    </row>
    <row r="707" spans="1:1" x14ac:dyDescent="0.2">
      <c r="A707" s="7"/>
    </row>
    <row r="708" spans="1:1" x14ac:dyDescent="0.2">
      <c r="A708" s="7"/>
    </row>
    <row r="709" spans="1:1" x14ac:dyDescent="0.2">
      <c r="A709" s="7"/>
    </row>
    <row r="710" spans="1:1" x14ac:dyDescent="0.2">
      <c r="A710" s="7"/>
    </row>
    <row r="711" spans="1:1" x14ac:dyDescent="0.2">
      <c r="A711" s="7"/>
    </row>
    <row r="712" spans="1:1" x14ac:dyDescent="0.2">
      <c r="A712" s="7"/>
    </row>
    <row r="713" spans="1:1" x14ac:dyDescent="0.2">
      <c r="A713" s="7"/>
    </row>
    <row r="714" spans="1:1" x14ac:dyDescent="0.2">
      <c r="A714" s="7"/>
    </row>
    <row r="715" spans="1:1" x14ac:dyDescent="0.2">
      <c r="A715" s="7"/>
    </row>
    <row r="716" spans="1:1" x14ac:dyDescent="0.2">
      <c r="A716" s="7"/>
    </row>
    <row r="717" spans="1:1" x14ac:dyDescent="0.2">
      <c r="A717" s="7"/>
    </row>
    <row r="718" spans="1:1" x14ac:dyDescent="0.2">
      <c r="A718" s="7"/>
    </row>
    <row r="719" spans="1:1" x14ac:dyDescent="0.2">
      <c r="A719" s="7"/>
    </row>
    <row r="720" spans="1:1" x14ac:dyDescent="0.2">
      <c r="A720" s="7"/>
    </row>
    <row r="721" spans="1:1" x14ac:dyDescent="0.2">
      <c r="A721" s="7"/>
    </row>
    <row r="722" spans="1:1" x14ac:dyDescent="0.2">
      <c r="A722" s="7"/>
    </row>
    <row r="723" spans="1:1" x14ac:dyDescent="0.2">
      <c r="A723" s="7"/>
    </row>
    <row r="724" spans="1:1" x14ac:dyDescent="0.2">
      <c r="A724" s="7"/>
    </row>
    <row r="725" spans="1:1" x14ac:dyDescent="0.2">
      <c r="A725" s="7"/>
    </row>
    <row r="726" spans="1:1" x14ac:dyDescent="0.2">
      <c r="A726" s="7"/>
    </row>
    <row r="727" spans="1:1" x14ac:dyDescent="0.2">
      <c r="A727" s="7"/>
    </row>
    <row r="728" spans="1:1" x14ac:dyDescent="0.2">
      <c r="A728" s="7"/>
    </row>
    <row r="729" spans="1:1" x14ac:dyDescent="0.2">
      <c r="A729" s="7"/>
    </row>
    <row r="730" spans="1:1" x14ac:dyDescent="0.2">
      <c r="A730" s="7"/>
    </row>
    <row r="731" spans="1:1" x14ac:dyDescent="0.2">
      <c r="A731" s="7"/>
    </row>
    <row r="732" spans="1:1" x14ac:dyDescent="0.2">
      <c r="A732" s="7"/>
    </row>
    <row r="733" spans="1:1" x14ac:dyDescent="0.2">
      <c r="A733" s="7"/>
    </row>
    <row r="734" spans="1:1" x14ac:dyDescent="0.2">
      <c r="A734" s="7"/>
    </row>
    <row r="735" spans="1:1" x14ac:dyDescent="0.2">
      <c r="A735" s="7"/>
    </row>
    <row r="736" spans="1:1" x14ac:dyDescent="0.2">
      <c r="A736" s="7"/>
    </row>
    <row r="737" spans="1:1" x14ac:dyDescent="0.2">
      <c r="A737" s="7"/>
    </row>
    <row r="738" spans="1:1" x14ac:dyDescent="0.2">
      <c r="A738" s="7"/>
    </row>
    <row r="739" spans="1:1" x14ac:dyDescent="0.2">
      <c r="A739" s="7"/>
    </row>
    <row r="740" spans="1:1" x14ac:dyDescent="0.2">
      <c r="A740" s="7"/>
    </row>
    <row r="741" spans="1:1" x14ac:dyDescent="0.2">
      <c r="A741" s="7"/>
    </row>
    <row r="742" spans="1:1" x14ac:dyDescent="0.2">
      <c r="A742" s="7"/>
    </row>
    <row r="743" spans="1:1" x14ac:dyDescent="0.2">
      <c r="A743" s="7"/>
    </row>
    <row r="744" spans="1:1" x14ac:dyDescent="0.2">
      <c r="A744" s="7"/>
    </row>
    <row r="745" spans="1:1" x14ac:dyDescent="0.2">
      <c r="A745" s="7"/>
    </row>
    <row r="746" spans="1:1" x14ac:dyDescent="0.2">
      <c r="A746" s="7"/>
    </row>
    <row r="747" spans="1:1" x14ac:dyDescent="0.2">
      <c r="A747" s="7"/>
    </row>
    <row r="748" spans="1:1" x14ac:dyDescent="0.2">
      <c r="A748" s="7"/>
    </row>
    <row r="749" spans="1:1" x14ac:dyDescent="0.2">
      <c r="A749" s="7"/>
    </row>
  </sheetData>
  <autoFilter ref="A1:O198" xr:uid="{00000000-0009-0000-0000-000000000000}">
    <sortState xmlns:xlrd2="http://schemas.microsoft.com/office/spreadsheetml/2017/richdata2" ref="A2:O198">
      <sortCondition ref="A2:A198"/>
    </sortState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zoomScaleNormal="100" workbookViewId="0">
      <selection activeCell="P13" sqref="P13"/>
    </sheetView>
  </sheetViews>
  <sheetFormatPr baseColWidth="10" defaultColWidth="9.1640625" defaultRowHeight="15" customHeight="1" x14ac:dyDescent="0.2"/>
  <cols>
    <col min="1" max="1" width="18.5" style="21" customWidth="1"/>
    <col min="2" max="2" width="9.83203125" style="21" customWidth="1"/>
    <col min="3" max="3" width="12.33203125" style="21" customWidth="1"/>
    <col min="4" max="4" width="12" style="21" customWidth="1"/>
    <col min="5" max="5" width="15.1640625" customWidth="1"/>
    <col min="6" max="6" width="14.5" customWidth="1"/>
    <col min="7" max="7" width="14.33203125" customWidth="1"/>
    <col min="8" max="8" width="14.1640625" customWidth="1"/>
    <col min="9" max="9" width="9.5" customWidth="1"/>
    <col min="10" max="10" width="15.6640625" customWidth="1"/>
    <col min="11" max="11" width="18.33203125" customWidth="1"/>
    <col min="12" max="12" width="10.83203125" customWidth="1"/>
    <col min="13" max="13" width="15.5" customWidth="1"/>
    <col min="14" max="14" width="15.33203125" customWidth="1"/>
    <col min="15" max="15" width="22.5" customWidth="1"/>
  </cols>
  <sheetData>
    <row r="1" spans="1:15" ht="15" customHeight="1" x14ac:dyDescent="0.2">
      <c r="A1" s="22" t="s">
        <v>279</v>
      </c>
      <c r="B1" s="23" t="s">
        <v>280</v>
      </c>
      <c r="C1" s="21" t="s">
        <v>15</v>
      </c>
      <c r="D1" s="21" t="s">
        <v>42</v>
      </c>
      <c r="E1" t="s">
        <v>67</v>
      </c>
      <c r="F1" t="s">
        <v>72</v>
      </c>
      <c r="G1" t="s">
        <v>113</v>
      </c>
      <c r="H1" t="s">
        <v>134</v>
      </c>
      <c r="I1" t="s">
        <v>281</v>
      </c>
      <c r="J1" t="s">
        <v>282</v>
      </c>
      <c r="K1" t="s">
        <v>172</v>
      </c>
      <c r="L1" t="s">
        <v>244</v>
      </c>
      <c r="M1" t="s">
        <v>247</v>
      </c>
      <c r="N1" t="s">
        <v>283</v>
      </c>
      <c r="O1" t="s">
        <v>284</v>
      </c>
    </row>
    <row r="2" spans="1:15" ht="15" customHeight="1" x14ac:dyDescent="0.2">
      <c r="A2" s="24" t="s">
        <v>285</v>
      </c>
      <c r="B2" s="25">
        <f t="shared" ref="B2:B9" si="0">SUM(C2:O2)</f>
        <v>196</v>
      </c>
      <c r="C2" s="25">
        <f>COUNTIF(Sheet1!$C$2:$C$11473,C1)</f>
        <v>18</v>
      </c>
      <c r="D2" s="25">
        <f>COUNTIF(Sheet1!$C$2:$C$11473,D1)</f>
        <v>15</v>
      </c>
      <c r="E2" s="25">
        <f>COUNTIF(Sheet1!$C$2:$C$11473,E1)</f>
        <v>1</v>
      </c>
      <c r="F2" s="25">
        <f>COUNTIF(Sheet1!$C$2:$C$11473,F1)</f>
        <v>32</v>
      </c>
      <c r="G2" s="25">
        <f>COUNTIF(Sheet1!$C$2:$C$11473,G1)</f>
        <v>18</v>
      </c>
      <c r="H2" s="25">
        <f>COUNTIF(Sheet1!$C$2:$C$11473,H1)</f>
        <v>29</v>
      </c>
      <c r="I2" s="25">
        <f>COUNTIF(Sheet1!$C$2:$C$11473,I1)</f>
        <v>0</v>
      </c>
      <c r="J2" s="25">
        <f>COUNTIF(Sheet1!$C$2:$C$11473,J1)</f>
        <v>0</v>
      </c>
      <c r="K2" s="25">
        <f>COUNTIF(Sheet1!$C$2:$C$11473,K1)</f>
        <v>57</v>
      </c>
      <c r="L2" s="25">
        <f>COUNTIF(Sheet1!$C$2:$C$11473,L1)</f>
        <v>1</v>
      </c>
      <c r="M2" s="25">
        <f>COUNTIF(Sheet1!$C$2:$C$11473,M1)</f>
        <v>6</v>
      </c>
      <c r="N2" s="25">
        <f>COUNTIF(Sheet1!$C$2:$C$11473,N1)</f>
        <v>19</v>
      </c>
      <c r="O2" s="25">
        <f>COUNTIF(Sheet1!$C$2:$C$11473,O1)</f>
        <v>0</v>
      </c>
    </row>
    <row r="3" spans="1:15" ht="15" customHeight="1" x14ac:dyDescent="0.2">
      <c r="A3" s="24" t="s">
        <v>286</v>
      </c>
      <c r="B3" s="25">
        <f t="shared" si="0"/>
        <v>3776</v>
      </c>
      <c r="C3" s="26">
        <v>202</v>
      </c>
      <c r="D3" s="26">
        <v>462</v>
      </c>
      <c r="E3" s="26">
        <v>86</v>
      </c>
      <c r="F3" s="26">
        <v>465</v>
      </c>
      <c r="G3" s="26">
        <v>883</v>
      </c>
      <c r="H3" s="26">
        <v>405</v>
      </c>
      <c r="I3" s="26">
        <v>29</v>
      </c>
      <c r="J3" s="26">
        <v>86</v>
      </c>
      <c r="K3" s="26">
        <v>444</v>
      </c>
      <c r="L3" s="26">
        <v>370</v>
      </c>
      <c r="M3" s="26">
        <v>157</v>
      </c>
      <c r="N3" s="26">
        <v>172</v>
      </c>
      <c r="O3" s="26">
        <v>15</v>
      </c>
    </row>
    <row r="4" spans="1:15" ht="15" customHeight="1" x14ac:dyDescent="0.2">
      <c r="A4" s="24" t="s">
        <v>287</v>
      </c>
      <c r="B4" s="25">
        <f t="shared" si="0"/>
        <v>104</v>
      </c>
      <c r="C4" s="25">
        <f t="shared" ref="C4:O4" si="1">SUM(C6:C8)</f>
        <v>13</v>
      </c>
      <c r="D4" s="25">
        <f t="shared" si="1"/>
        <v>9</v>
      </c>
      <c r="E4" s="25">
        <f t="shared" si="1"/>
        <v>1</v>
      </c>
      <c r="F4" s="25">
        <f t="shared" si="1"/>
        <v>15</v>
      </c>
      <c r="G4" s="25">
        <f t="shared" si="1"/>
        <v>7</v>
      </c>
      <c r="H4" s="25">
        <f t="shared" si="1"/>
        <v>13</v>
      </c>
      <c r="I4" s="25">
        <f t="shared" si="1"/>
        <v>0</v>
      </c>
      <c r="J4" s="25">
        <f t="shared" si="1"/>
        <v>0</v>
      </c>
      <c r="K4" s="25">
        <f t="shared" si="1"/>
        <v>31</v>
      </c>
      <c r="L4" s="25">
        <f t="shared" si="1"/>
        <v>1</v>
      </c>
      <c r="M4" s="25">
        <f t="shared" si="1"/>
        <v>0</v>
      </c>
      <c r="N4" s="25">
        <f t="shared" si="1"/>
        <v>14</v>
      </c>
      <c r="O4" s="25">
        <f t="shared" si="1"/>
        <v>0</v>
      </c>
    </row>
    <row r="5" spans="1:15" ht="15" customHeight="1" x14ac:dyDescent="0.2">
      <c r="A5" s="24" t="s">
        <v>288</v>
      </c>
      <c r="B5" s="25">
        <f t="shared" si="0"/>
        <v>92</v>
      </c>
      <c r="C5" s="25">
        <f t="shared" ref="C5:O5" si="2">C6+C7</f>
        <v>11</v>
      </c>
      <c r="D5" s="25">
        <f t="shared" si="2"/>
        <v>6</v>
      </c>
      <c r="E5" s="25">
        <f t="shared" si="2"/>
        <v>0</v>
      </c>
      <c r="F5" s="25">
        <f t="shared" si="2"/>
        <v>14</v>
      </c>
      <c r="G5" s="25">
        <f t="shared" si="2"/>
        <v>7</v>
      </c>
      <c r="H5" s="25">
        <f t="shared" si="2"/>
        <v>12</v>
      </c>
      <c r="I5" s="25">
        <f t="shared" si="2"/>
        <v>0</v>
      </c>
      <c r="J5" s="25">
        <f t="shared" si="2"/>
        <v>0</v>
      </c>
      <c r="K5" s="25">
        <f t="shared" si="2"/>
        <v>28</v>
      </c>
      <c r="L5" s="25">
        <f t="shared" si="2"/>
        <v>0</v>
      </c>
      <c r="M5" s="25">
        <f t="shared" si="2"/>
        <v>0</v>
      </c>
      <c r="N5" s="25">
        <f t="shared" si="2"/>
        <v>14</v>
      </c>
      <c r="O5" s="25">
        <f t="shared" si="2"/>
        <v>0</v>
      </c>
    </row>
    <row r="6" spans="1:15" ht="15" customHeight="1" x14ac:dyDescent="0.2">
      <c r="A6" s="24" t="s">
        <v>289</v>
      </c>
      <c r="B6" s="25">
        <f t="shared" si="0"/>
        <v>1</v>
      </c>
      <c r="C6" s="25">
        <f>COUNTIFS(Sheet1!$C$2:$C$1236,C1,Sheet1!$G$2:$G$1236,1)</f>
        <v>0</v>
      </c>
      <c r="D6" s="25">
        <f>COUNTIFS(Sheet1!$C$2:$C$1236,D1,Sheet1!$G$2:$G$1236,1)</f>
        <v>0</v>
      </c>
      <c r="E6" s="25">
        <f>COUNTIFS(Sheet1!$C$2:$C$1236,E1,Sheet1!$G$2:$G$1236,1)</f>
        <v>0</v>
      </c>
      <c r="F6" s="25">
        <f>COUNTIFS(Sheet1!$C$2:$C$1236,F1,Sheet1!$G$2:$G$1236,1)</f>
        <v>0</v>
      </c>
      <c r="G6" s="25">
        <f>COUNTIFS(Sheet1!$C$2:$C$1236,G1,Sheet1!$G$2:$G$1236,1)</f>
        <v>0</v>
      </c>
      <c r="H6" s="25">
        <f>COUNTIFS(Sheet1!$C$2:$C$1236,H1,Sheet1!$G$2:$G$1236,1)</f>
        <v>1</v>
      </c>
      <c r="I6" s="25">
        <f>COUNTIFS(Sheet1!$C$2:$C$1236,I1,Sheet1!$G$2:$G$1236,1)</f>
        <v>0</v>
      </c>
      <c r="J6" s="25">
        <f>COUNTIFS(Sheet1!$C$2:$C$1236,J1,Sheet1!$G$2:$G$1236,1)</f>
        <v>0</v>
      </c>
      <c r="K6" s="25">
        <f>COUNTIFS(Sheet1!$C$2:$C$1236,K1,Sheet1!$G$2:$G$1236,1)</f>
        <v>0</v>
      </c>
      <c r="L6" s="25">
        <f>COUNTIFS(Sheet1!$C$2:$C$1236,L1,Sheet1!$G$2:$G$1236,1)</f>
        <v>0</v>
      </c>
      <c r="M6" s="25">
        <f>COUNTIFS(Sheet1!$C$2:$C$1236,M1,Sheet1!$G$2:$G$1236,1)</f>
        <v>0</v>
      </c>
      <c r="N6" s="25">
        <f>COUNTIFS(Sheet1!$C$2:$C$1236,N1,Sheet1!$G$2:$G$1236,1)</f>
        <v>0</v>
      </c>
      <c r="O6" s="25">
        <f>COUNTIFS(Sheet1!$C$2:$C$1236,O1,Sheet1!$G$2:$G$1236,1)</f>
        <v>0</v>
      </c>
    </row>
    <row r="7" spans="1:15" ht="15" customHeight="1" x14ac:dyDescent="0.2">
      <c r="A7" s="24" t="s">
        <v>290</v>
      </c>
      <c r="B7" s="25">
        <f t="shared" si="0"/>
        <v>91</v>
      </c>
      <c r="C7" s="25">
        <f>COUNTIFS(Sheet1!$C$2:$C$1236,C1,Sheet1!$H$2:$H$1236,1)</f>
        <v>11</v>
      </c>
      <c r="D7" s="25">
        <f>COUNTIFS(Sheet1!$C$2:$C$1236,D1,Sheet1!$H$2:$H$1236,1)</f>
        <v>6</v>
      </c>
      <c r="E7" s="25">
        <f>COUNTIFS(Sheet1!$C$2:$C$1236,E1,Sheet1!$H$2:$H$1236,1)</f>
        <v>0</v>
      </c>
      <c r="F7" s="25">
        <f>COUNTIFS(Sheet1!$C$2:$C$1236,F1,Sheet1!$H$2:$H$1236,1)</f>
        <v>14</v>
      </c>
      <c r="G7" s="25">
        <f>COUNTIFS(Sheet1!$C$2:$C$1236,G1,Sheet1!$H$2:$H$1236,1)</f>
        <v>7</v>
      </c>
      <c r="H7" s="25">
        <f>COUNTIFS(Sheet1!$C$2:$C$1236,H1,Sheet1!$H$2:$H$1236,1)</f>
        <v>11</v>
      </c>
      <c r="I7" s="25">
        <f>COUNTIFS(Sheet1!$C$2:$C$1236,I1,Sheet1!$H$2:$H$1236,1)</f>
        <v>0</v>
      </c>
      <c r="J7" s="25">
        <f>COUNTIFS(Sheet1!$C$2:$C$1236,J1,Sheet1!$H$2:$H$1236,1)</f>
        <v>0</v>
      </c>
      <c r="K7" s="25">
        <f>COUNTIFS(Sheet1!$C$2:$C$1236,K1,Sheet1!$H$2:$H$1236,1)</f>
        <v>28</v>
      </c>
      <c r="L7" s="25">
        <f>COUNTIFS(Sheet1!$C$2:$C$1236,L1,Sheet1!$H$2:$H$1236,1)</f>
        <v>0</v>
      </c>
      <c r="M7" s="25">
        <f>COUNTIFS(Sheet1!$C$2:$C$1236,M1,Sheet1!$H$2:$H$1236,1)</f>
        <v>0</v>
      </c>
      <c r="N7" s="25">
        <f>COUNTIFS(Sheet1!$C$2:$C$1236,N1,Sheet1!$H$2:$H$1236,1)</f>
        <v>14</v>
      </c>
      <c r="O7" s="25">
        <f>COUNTIFS(Sheet1!$C$2:$C$1236,O1,Sheet1!$H$2:$H$1236,1)</f>
        <v>0</v>
      </c>
    </row>
    <row r="8" spans="1:15" ht="15" customHeight="1" x14ac:dyDescent="0.2">
      <c r="A8" s="24" t="s">
        <v>291</v>
      </c>
      <c r="B8" s="25">
        <f t="shared" si="0"/>
        <v>12</v>
      </c>
      <c r="C8" s="25">
        <f>SUM(F8:J8)</f>
        <v>2</v>
      </c>
      <c r="D8" s="25">
        <f>K8</f>
        <v>3</v>
      </c>
      <c r="E8" s="25">
        <f>SUM(L8:M8)</f>
        <v>1</v>
      </c>
      <c r="F8" s="25">
        <f>COUNTIFS(Sheet1!$C$2:$C$1236,F1,Sheet1!$F$2:$F$1236,1)</f>
        <v>1</v>
      </c>
      <c r="G8" s="25">
        <f>COUNTIFS(Sheet1!$C$2:$C$1236,G1,Sheet1!$F$2:$F$1236,1)</f>
        <v>0</v>
      </c>
      <c r="H8" s="25">
        <f>COUNTIFS(Sheet1!$C$2:$C$1236,H1,Sheet1!$F$2:$F$1236,1)</f>
        <v>1</v>
      </c>
      <c r="I8" s="25">
        <f>COUNTIFS(Sheet1!$C$2:$C$1236,I1,Sheet1!$F$2:$F$1236,1)</f>
        <v>0</v>
      </c>
      <c r="J8" s="25">
        <f>COUNTIFS(Sheet1!$C$2:$C$1236,J1,Sheet1!$F$2:$F$1236,1)</f>
        <v>0</v>
      </c>
      <c r="K8" s="25">
        <f>COUNTIFS(Sheet1!$C$2:$C$1236,K1,Sheet1!$F$2:$F$1236,1)</f>
        <v>3</v>
      </c>
      <c r="L8" s="25">
        <f>COUNTIFS(Sheet1!$C$2:$C$1236,L1,Sheet1!$F$2:$F$1236,1)</f>
        <v>1</v>
      </c>
      <c r="M8" s="25">
        <f>COUNTIFS(Sheet1!$C$2:$C$1236,M1,Sheet1!$F$2:$F$1236,1)</f>
        <v>0</v>
      </c>
      <c r="N8" s="25">
        <f>COUNTIFS(Sheet1!$C$2:$C$1236,N1,Sheet1!$F$2:$F$1236,1)</f>
        <v>0</v>
      </c>
      <c r="O8" s="25">
        <f>COUNTIFS(Sheet1!$C$2:$C$1236,O1,Sheet1!$F$2:$F$1236,1)</f>
        <v>0</v>
      </c>
    </row>
    <row r="9" spans="1:15" ht="15" customHeight="1" x14ac:dyDescent="0.2">
      <c r="A9" s="24" t="s">
        <v>292</v>
      </c>
      <c r="B9" s="25">
        <f t="shared" si="0"/>
        <v>109</v>
      </c>
      <c r="C9" s="25">
        <f>COUNTIFS(Sheet1!$C$2:$C$1236,C1,Sheet1!$L$2:$L$1236,1)</f>
        <v>13</v>
      </c>
      <c r="D9" s="25">
        <f>COUNTIFS(Sheet1!$C$2:$C$1236,D1,Sheet1!$L$2:$L$1236,1)</f>
        <v>8</v>
      </c>
      <c r="E9" s="25">
        <f>COUNTIFS(Sheet1!$C$2:$C$1236,E1,Sheet1!$L$2:$L$1236,1)</f>
        <v>0</v>
      </c>
      <c r="F9" s="25">
        <f>COUNTIFS(Sheet1!$C$2:$C$1236,F1,Sheet1!$L$2:$L$1236,1)</f>
        <v>15</v>
      </c>
      <c r="G9" s="25">
        <f>COUNTIFS(Sheet1!$C$2:$C$1236,G1,Sheet1!$L$2:$L$1236,1)</f>
        <v>7</v>
      </c>
      <c r="H9" s="25">
        <f>COUNTIFS(Sheet1!$C$2:$C$1236,H1,Sheet1!$L$2:$L$1236,1)</f>
        <v>17</v>
      </c>
      <c r="I9" s="25">
        <f>COUNTIFS(Sheet1!$C$2:$C$1236,I1,Sheet1!$L$2:$L$1236,1)</f>
        <v>0</v>
      </c>
      <c r="J9" s="25">
        <f>COUNTIFS(Sheet1!$C$2:$C$1236,J1,Sheet1!$L$2:$L$1236,1)</f>
        <v>0</v>
      </c>
      <c r="K9" s="25">
        <f>COUNTIFS(Sheet1!$C$2:$C$1236,K1,Sheet1!$L$2:$L$1236,1)</f>
        <v>33</v>
      </c>
      <c r="L9" s="25">
        <f>COUNTIFS(Sheet1!$C$2:$C$1236,L1,Sheet1!$L$2:$L$1236,1)</f>
        <v>0</v>
      </c>
      <c r="M9" s="25">
        <f>COUNTIFS(Sheet1!$C$2:$C$1236,M1,Sheet1!$L$2:$L$1236,1)</f>
        <v>1</v>
      </c>
      <c r="N9" s="25">
        <f>COUNTIFS(Sheet1!$C$2:$C$1236,N1,Sheet1!$L$2:$L$1236,1)</f>
        <v>15</v>
      </c>
      <c r="O9" s="25">
        <f>COUNTIFS(Sheet1!$C$2:$C$1236,O1,Sheet1!$L$2:$L$1236,1)</f>
        <v>0</v>
      </c>
    </row>
    <row r="10" spans="1:15" ht="15" customHeight="1" x14ac:dyDescent="0.2">
      <c r="A10" s="27"/>
      <c r="B10" s="28"/>
      <c r="C10" s="28"/>
      <c r="D10" s="25">
        <f t="shared" ref="D10:D25" si="3">K10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" customHeight="1" x14ac:dyDescent="0.2">
      <c r="A11" s="22" t="s">
        <v>293</v>
      </c>
      <c r="B11" s="23"/>
      <c r="C11" s="23"/>
      <c r="D11" s="25">
        <f t="shared" si="3"/>
        <v>0</v>
      </c>
      <c r="E11" s="23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" customHeight="1" x14ac:dyDescent="0.2">
      <c r="A12" s="24" t="s">
        <v>294</v>
      </c>
      <c r="B12" s="25">
        <f t="shared" ref="B12:C17" si="4">ROUND(B4 / B$3, 4) * 100</f>
        <v>2.75</v>
      </c>
      <c r="C12" s="25">
        <f t="shared" si="4"/>
        <v>6.4399999999999995</v>
      </c>
      <c r="D12" s="25">
        <f t="shared" si="3"/>
        <v>6.98</v>
      </c>
      <c r="E12" s="25">
        <f t="shared" ref="E12:O12" si="5">ROUND(E4 / E$3, 4) * 100</f>
        <v>1.1599999999999999</v>
      </c>
      <c r="F12" s="25">
        <f t="shared" si="5"/>
        <v>3.2300000000000004</v>
      </c>
      <c r="G12" s="25">
        <f t="shared" si="5"/>
        <v>0.79</v>
      </c>
      <c r="H12" s="25">
        <f t="shared" si="5"/>
        <v>3.2099999999999995</v>
      </c>
      <c r="I12" s="25">
        <f t="shared" si="5"/>
        <v>0</v>
      </c>
      <c r="J12" s="25">
        <f t="shared" si="5"/>
        <v>0</v>
      </c>
      <c r="K12" s="25">
        <f t="shared" si="5"/>
        <v>6.98</v>
      </c>
      <c r="L12" s="25">
        <f t="shared" si="5"/>
        <v>0.27</v>
      </c>
      <c r="M12" s="25">
        <f t="shared" si="5"/>
        <v>0</v>
      </c>
      <c r="N12" s="25">
        <f t="shared" si="5"/>
        <v>8.14</v>
      </c>
      <c r="O12" s="25">
        <f t="shared" si="5"/>
        <v>0</v>
      </c>
    </row>
    <row r="13" spans="1:15" ht="15" customHeight="1" x14ac:dyDescent="0.2">
      <c r="A13" s="24" t="s">
        <v>295</v>
      </c>
      <c r="B13" s="23">
        <f t="shared" si="4"/>
        <v>2.44</v>
      </c>
      <c r="C13" s="23">
        <f t="shared" si="4"/>
        <v>5.45</v>
      </c>
      <c r="D13" s="23">
        <f t="shared" si="3"/>
        <v>6.3100000000000005</v>
      </c>
      <c r="E13" s="23">
        <f t="shared" ref="E13:O13" si="6">ROUND(E5 / E$3, 4) * 100</f>
        <v>0</v>
      </c>
      <c r="F13" s="23">
        <f t="shared" si="6"/>
        <v>3.01</v>
      </c>
      <c r="G13" s="23">
        <f t="shared" si="6"/>
        <v>0.79</v>
      </c>
      <c r="H13" s="23">
        <f t="shared" si="6"/>
        <v>2.96</v>
      </c>
      <c r="I13" s="23">
        <f t="shared" si="6"/>
        <v>0</v>
      </c>
      <c r="J13" s="23">
        <f t="shared" si="6"/>
        <v>0</v>
      </c>
      <c r="K13" s="23">
        <f t="shared" si="6"/>
        <v>6.3100000000000005</v>
      </c>
      <c r="L13" s="23">
        <f t="shared" si="6"/>
        <v>0</v>
      </c>
      <c r="M13" s="23">
        <f t="shared" si="6"/>
        <v>0</v>
      </c>
      <c r="N13" s="25">
        <f t="shared" si="6"/>
        <v>8.14</v>
      </c>
      <c r="O13" s="25">
        <f t="shared" si="6"/>
        <v>0</v>
      </c>
    </row>
    <row r="14" spans="1:15" ht="15" customHeight="1" x14ac:dyDescent="0.2">
      <c r="A14" s="24" t="s">
        <v>296</v>
      </c>
      <c r="B14" s="25">
        <f t="shared" si="4"/>
        <v>0.03</v>
      </c>
      <c r="C14" s="25">
        <f t="shared" si="4"/>
        <v>0</v>
      </c>
      <c r="D14" s="25">
        <f t="shared" si="3"/>
        <v>0</v>
      </c>
      <c r="E14" s="25">
        <f t="shared" ref="E14:O14" si="7">ROUND(E6 / E$3, 4) * 100</f>
        <v>0</v>
      </c>
      <c r="F14" s="25">
        <f t="shared" si="7"/>
        <v>0</v>
      </c>
      <c r="G14" s="25">
        <f t="shared" si="7"/>
        <v>0</v>
      </c>
      <c r="H14" s="25">
        <f t="shared" si="7"/>
        <v>0.25</v>
      </c>
      <c r="I14" s="25">
        <f t="shared" si="7"/>
        <v>0</v>
      </c>
      <c r="J14" s="25">
        <f t="shared" si="7"/>
        <v>0</v>
      </c>
      <c r="K14" s="25">
        <f t="shared" si="7"/>
        <v>0</v>
      </c>
      <c r="L14" s="25">
        <f t="shared" si="7"/>
        <v>0</v>
      </c>
      <c r="M14" s="25">
        <f t="shared" si="7"/>
        <v>0</v>
      </c>
      <c r="N14" s="25">
        <f t="shared" si="7"/>
        <v>0</v>
      </c>
      <c r="O14" s="25">
        <f t="shared" si="7"/>
        <v>0</v>
      </c>
    </row>
    <row r="15" spans="1:15" ht="15" customHeight="1" x14ac:dyDescent="0.2">
      <c r="A15" s="24" t="s">
        <v>297</v>
      </c>
      <c r="B15" s="25">
        <f t="shared" si="4"/>
        <v>2.41</v>
      </c>
      <c r="C15" s="25">
        <f t="shared" si="4"/>
        <v>5.45</v>
      </c>
      <c r="D15" s="25">
        <f t="shared" si="3"/>
        <v>6.3100000000000005</v>
      </c>
      <c r="E15" s="25">
        <f t="shared" ref="E15:O15" si="8">ROUND(E7 / E$3, 4) * 100</f>
        <v>0</v>
      </c>
      <c r="F15" s="25">
        <f t="shared" si="8"/>
        <v>3.01</v>
      </c>
      <c r="G15" s="25">
        <f t="shared" si="8"/>
        <v>0.79</v>
      </c>
      <c r="H15" s="25">
        <f t="shared" si="8"/>
        <v>2.7199999999999998</v>
      </c>
      <c r="I15" s="25">
        <f t="shared" si="8"/>
        <v>0</v>
      </c>
      <c r="J15" s="25">
        <f t="shared" si="8"/>
        <v>0</v>
      </c>
      <c r="K15" s="25">
        <f t="shared" si="8"/>
        <v>6.3100000000000005</v>
      </c>
      <c r="L15" s="25">
        <f t="shared" si="8"/>
        <v>0</v>
      </c>
      <c r="M15" s="25">
        <f t="shared" si="8"/>
        <v>0</v>
      </c>
      <c r="N15" s="25">
        <f t="shared" si="8"/>
        <v>8.14</v>
      </c>
      <c r="O15" s="25">
        <f t="shared" si="8"/>
        <v>0</v>
      </c>
    </row>
    <row r="16" spans="1:15" ht="15" customHeight="1" x14ac:dyDescent="0.2">
      <c r="A16" s="24" t="s">
        <v>298</v>
      </c>
      <c r="B16" s="25">
        <f t="shared" si="4"/>
        <v>0.32</v>
      </c>
      <c r="C16" s="25">
        <f t="shared" si="4"/>
        <v>0.9900000000000001</v>
      </c>
      <c r="D16" s="25">
        <f t="shared" si="3"/>
        <v>0.67999999999999994</v>
      </c>
      <c r="E16" s="25">
        <f t="shared" ref="E16:O16" si="9">ROUND(E8 / E$3, 4) * 100</f>
        <v>1.1599999999999999</v>
      </c>
      <c r="F16" s="25">
        <f t="shared" si="9"/>
        <v>0.22</v>
      </c>
      <c r="G16" s="25">
        <f t="shared" si="9"/>
        <v>0</v>
      </c>
      <c r="H16" s="25">
        <f t="shared" si="9"/>
        <v>0.25</v>
      </c>
      <c r="I16" s="25">
        <f t="shared" si="9"/>
        <v>0</v>
      </c>
      <c r="J16" s="25">
        <f t="shared" si="9"/>
        <v>0</v>
      </c>
      <c r="K16" s="25">
        <f t="shared" si="9"/>
        <v>0.67999999999999994</v>
      </c>
      <c r="L16" s="25">
        <f t="shared" si="9"/>
        <v>0.27</v>
      </c>
      <c r="M16" s="25">
        <f t="shared" si="9"/>
        <v>0</v>
      </c>
      <c r="N16" s="25">
        <f t="shared" si="9"/>
        <v>0</v>
      </c>
      <c r="O16" s="25">
        <f t="shared" si="9"/>
        <v>0</v>
      </c>
    </row>
    <row r="17" spans="1:15" ht="15" customHeight="1" x14ac:dyDescent="0.2">
      <c r="A17" s="24" t="s">
        <v>299</v>
      </c>
      <c r="B17" s="25">
        <f t="shared" si="4"/>
        <v>2.8899999999999997</v>
      </c>
      <c r="C17" s="25">
        <f t="shared" si="4"/>
        <v>6.4399999999999995</v>
      </c>
      <c r="D17" s="25">
        <f t="shared" si="3"/>
        <v>7.4300000000000006</v>
      </c>
      <c r="E17" s="25">
        <f t="shared" ref="E17:O17" si="10">ROUND(E9 / E$3, 4) * 100</f>
        <v>0</v>
      </c>
      <c r="F17" s="25">
        <f t="shared" si="10"/>
        <v>3.2300000000000004</v>
      </c>
      <c r="G17" s="25">
        <f t="shared" si="10"/>
        <v>0.79</v>
      </c>
      <c r="H17" s="25">
        <f t="shared" si="10"/>
        <v>4.2</v>
      </c>
      <c r="I17" s="25">
        <f t="shared" si="10"/>
        <v>0</v>
      </c>
      <c r="J17" s="25">
        <f t="shared" si="10"/>
        <v>0</v>
      </c>
      <c r="K17" s="25">
        <f t="shared" si="10"/>
        <v>7.4300000000000006</v>
      </c>
      <c r="L17" s="25">
        <f t="shared" si="10"/>
        <v>0</v>
      </c>
      <c r="M17" s="25">
        <f t="shared" si="10"/>
        <v>0.64</v>
      </c>
      <c r="N17" s="25">
        <f t="shared" si="10"/>
        <v>8.7200000000000006</v>
      </c>
      <c r="O17" s="25">
        <f t="shared" si="10"/>
        <v>0</v>
      </c>
    </row>
    <row r="18" spans="1:15" ht="15" customHeight="1" x14ac:dyDescent="0.2">
      <c r="A18" s="27"/>
      <c r="B18" s="28"/>
      <c r="C18" s="28"/>
      <c r="D18" s="25">
        <f t="shared" si="3"/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" customHeight="1" x14ac:dyDescent="0.2">
      <c r="A19" s="22" t="s">
        <v>300</v>
      </c>
      <c r="B19" s="23"/>
      <c r="C19" s="23"/>
      <c r="D19" s="25">
        <f t="shared" si="3"/>
        <v>0</v>
      </c>
      <c r="E19" s="23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5" ht="15" customHeight="1" x14ac:dyDescent="0.2">
      <c r="A20" s="24" t="s">
        <v>294</v>
      </c>
      <c r="B20" s="25">
        <f t="shared" ref="B20:C25" si="11">ROUND(B4 / B$2, 4) * 100</f>
        <v>53.059999999999995</v>
      </c>
      <c r="C20" s="25">
        <f t="shared" si="11"/>
        <v>72.22</v>
      </c>
      <c r="D20" s="25">
        <f t="shared" si="3"/>
        <v>54.390000000000008</v>
      </c>
      <c r="E20" s="25">
        <f t="shared" ref="E20:O20" si="12">ROUND(E4 / E$2, 4) * 100</f>
        <v>100</v>
      </c>
      <c r="F20" s="25">
        <f t="shared" si="12"/>
        <v>46.88</v>
      </c>
      <c r="G20" s="25">
        <f t="shared" si="12"/>
        <v>38.89</v>
      </c>
      <c r="H20" s="25">
        <f t="shared" si="12"/>
        <v>44.83</v>
      </c>
      <c r="I20" s="25" t="e">
        <f t="shared" si="12"/>
        <v>#DIV/0!</v>
      </c>
      <c r="J20" s="25" t="e">
        <f t="shared" si="12"/>
        <v>#DIV/0!</v>
      </c>
      <c r="K20" s="25">
        <f t="shared" si="12"/>
        <v>54.390000000000008</v>
      </c>
      <c r="L20" s="25">
        <f t="shared" si="12"/>
        <v>100</v>
      </c>
      <c r="M20" s="25">
        <f t="shared" si="12"/>
        <v>0</v>
      </c>
      <c r="N20" s="25">
        <f t="shared" si="12"/>
        <v>73.680000000000007</v>
      </c>
      <c r="O20" s="25" t="e">
        <f t="shared" si="12"/>
        <v>#DIV/0!</v>
      </c>
    </row>
    <row r="21" spans="1:15" ht="15" customHeight="1" x14ac:dyDescent="0.2">
      <c r="A21" s="24" t="s">
        <v>295</v>
      </c>
      <c r="B21" s="23">
        <f t="shared" si="11"/>
        <v>46.94</v>
      </c>
      <c r="C21" s="23">
        <f t="shared" si="11"/>
        <v>61.11</v>
      </c>
      <c r="D21" s="23">
        <f t="shared" si="3"/>
        <v>49.120000000000005</v>
      </c>
      <c r="E21" s="23">
        <f t="shared" ref="E21:O21" si="13">ROUND(E5 / E$2, 4) * 100</f>
        <v>0</v>
      </c>
      <c r="F21" s="23">
        <f t="shared" si="13"/>
        <v>43.75</v>
      </c>
      <c r="G21" s="23">
        <f t="shared" si="13"/>
        <v>38.89</v>
      </c>
      <c r="H21" s="23">
        <f t="shared" si="13"/>
        <v>41.38</v>
      </c>
      <c r="I21" s="23" t="e">
        <f t="shared" si="13"/>
        <v>#DIV/0!</v>
      </c>
      <c r="J21" s="23" t="e">
        <f t="shared" si="13"/>
        <v>#DIV/0!</v>
      </c>
      <c r="K21" s="23">
        <f t="shared" si="13"/>
        <v>49.120000000000005</v>
      </c>
      <c r="L21" s="23">
        <f t="shared" si="13"/>
        <v>0</v>
      </c>
      <c r="M21" s="23">
        <f t="shared" si="13"/>
        <v>0</v>
      </c>
      <c r="N21" s="25">
        <f t="shared" si="13"/>
        <v>73.680000000000007</v>
      </c>
      <c r="O21" s="25" t="e">
        <f t="shared" si="13"/>
        <v>#DIV/0!</v>
      </c>
    </row>
    <row r="22" spans="1:15" ht="15" customHeight="1" x14ac:dyDescent="0.2">
      <c r="A22" s="24" t="s">
        <v>296</v>
      </c>
      <c r="B22" s="25">
        <f t="shared" si="11"/>
        <v>0.51</v>
      </c>
      <c r="C22" s="25">
        <f t="shared" si="11"/>
        <v>0</v>
      </c>
      <c r="D22" s="25">
        <f t="shared" si="3"/>
        <v>0</v>
      </c>
      <c r="E22" s="25">
        <f t="shared" ref="E22:O22" si="14">ROUND(E6 / E$2, 4) * 100</f>
        <v>0</v>
      </c>
      <c r="F22" s="25">
        <f t="shared" si="14"/>
        <v>0</v>
      </c>
      <c r="G22" s="25">
        <f t="shared" si="14"/>
        <v>0</v>
      </c>
      <c r="H22" s="25">
        <f t="shared" si="14"/>
        <v>3.45</v>
      </c>
      <c r="I22" s="25" t="e">
        <f t="shared" si="14"/>
        <v>#DIV/0!</v>
      </c>
      <c r="J22" s="25" t="e">
        <f t="shared" si="14"/>
        <v>#DIV/0!</v>
      </c>
      <c r="K22" s="25">
        <f t="shared" si="14"/>
        <v>0</v>
      </c>
      <c r="L22" s="25">
        <f t="shared" si="14"/>
        <v>0</v>
      </c>
      <c r="M22" s="25">
        <f t="shared" si="14"/>
        <v>0</v>
      </c>
      <c r="N22" s="25">
        <f t="shared" si="14"/>
        <v>0</v>
      </c>
      <c r="O22" s="25" t="e">
        <f t="shared" si="14"/>
        <v>#DIV/0!</v>
      </c>
    </row>
    <row r="23" spans="1:15" ht="15" customHeight="1" x14ac:dyDescent="0.2">
      <c r="A23" s="24" t="s">
        <v>297</v>
      </c>
      <c r="B23" s="25">
        <f t="shared" si="11"/>
        <v>46.43</v>
      </c>
      <c r="C23" s="25">
        <f t="shared" si="11"/>
        <v>61.11</v>
      </c>
      <c r="D23" s="25">
        <f t="shared" si="3"/>
        <v>49.120000000000005</v>
      </c>
      <c r="E23" s="25">
        <f t="shared" ref="E23:O23" si="15">ROUND(E7 / E$2, 4) * 100</f>
        <v>0</v>
      </c>
      <c r="F23" s="25">
        <f t="shared" si="15"/>
        <v>43.75</v>
      </c>
      <c r="G23" s="25">
        <f t="shared" si="15"/>
        <v>38.89</v>
      </c>
      <c r="H23" s="25">
        <f t="shared" si="15"/>
        <v>37.93</v>
      </c>
      <c r="I23" s="25" t="e">
        <f t="shared" si="15"/>
        <v>#DIV/0!</v>
      </c>
      <c r="J23" s="25" t="e">
        <f t="shared" si="15"/>
        <v>#DIV/0!</v>
      </c>
      <c r="K23" s="25">
        <f t="shared" si="15"/>
        <v>49.120000000000005</v>
      </c>
      <c r="L23" s="25">
        <f t="shared" si="15"/>
        <v>0</v>
      </c>
      <c r="M23" s="25">
        <f t="shared" si="15"/>
        <v>0</v>
      </c>
      <c r="N23" s="25">
        <f t="shared" si="15"/>
        <v>73.680000000000007</v>
      </c>
      <c r="O23" s="25" t="e">
        <f t="shared" si="15"/>
        <v>#DIV/0!</v>
      </c>
    </row>
    <row r="24" spans="1:15" ht="15" customHeight="1" x14ac:dyDescent="0.2">
      <c r="A24" s="24" t="s">
        <v>298</v>
      </c>
      <c r="B24" s="25">
        <f t="shared" si="11"/>
        <v>6.12</v>
      </c>
      <c r="C24" s="25">
        <f t="shared" si="11"/>
        <v>11.110000000000001</v>
      </c>
      <c r="D24" s="25">
        <f t="shared" si="3"/>
        <v>5.26</v>
      </c>
      <c r="E24" s="25">
        <f t="shared" ref="E24:O24" si="16">ROUND(E8 / E$2, 4) * 100</f>
        <v>100</v>
      </c>
      <c r="F24" s="25">
        <f t="shared" si="16"/>
        <v>3.1300000000000003</v>
      </c>
      <c r="G24" s="25">
        <f t="shared" si="16"/>
        <v>0</v>
      </c>
      <c r="H24" s="25">
        <f t="shared" si="16"/>
        <v>3.45</v>
      </c>
      <c r="I24" s="25" t="e">
        <f t="shared" si="16"/>
        <v>#DIV/0!</v>
      </c>
      <c r="J24" s="25" t="e">
        <f t="shared" si="16"/>
        <v>#DIV/0!</v>
      </c>
      <c r="K24" s="25">
        <f t="shared" si="16"/>
        <v>5.26</v>
      </c>
      <c r="L24" s="25">
        <f t="shared" si="16"/>
        <v>100</v>
      </c>
      <c r="M24" s="25">
        <f t="shared" si="16"/>
        <v>0</v>
      </c>
      <c r="N24" s="25">
        <f t="shared" si="16"/>
        <v>0</v>
      </c>
      <c r="O24" s="25" t="e">
        <f t="shared" si="16"/>
        <v>#DIV/0!</v>
      </c>
    </row>
    <row r="25" spans="1:15" ht="15" customHeight="1" x14ac:dyDescent="0.2">
      <c r="A25" s="24" t="s">
        <v>299</v>
      </c>
      <c r="B25" s="25">
        <f t="shared" si="11"/>
        <v>55.610000000000007</v>
      </c>
      <c r="C25" s="25">
        <f t="shared" si="11"/>
        <v>72.22</v>
      </c>
      <c r="D25" s="25">
        <f t="shared" si="3"/>
        <v>57.89</v>
      </c>
      <c r="E25" s="25">
        <f t="shared" ref="E25:O25" si="17">ROUND(E9 / E$2, 4) * 100</f>
        <v>0</v>
      </c>
      <c r="F25" s="25">
        <f t="shared" si="17"/>
        <v>46.88</v>
      </c>
      <c r="G25" s="25">
        <f t="shared" si="17"/>
        <v>38.89</v>
      </c>
      <c r="H25" s="25">
        <f t="shared" si="17"/>
        <v>58.620000000000005</v>
      </c>
      <c r="I25" s="25" t="e">
        <f t="shared" si="17"/>
        <v>#DIV/0!</v>
      </c>
      <c r="J25" s="25" t="e">
        <f t="shared" si="17"/>
        <v>#DIV/0!</v>
      </c>
      <c r="K25" s="25">
        <f t="shared" si="17"/>
        <v>57.89</v>
      </c>
      <c r="L25" s="25">
        <f t="shared" si="17"/>
        <v>0</v>
      </c>
      <c r="M25" s="25">
        <f t="shared" si="17"/>
        <v>16.669999999999998</v>
      </c>
      <c r="N25" s="25">
        <f t="shared" si="17"/>
        <v>78.95</v>
      </c>
      <c r="O25" s="25" t="e">
        <f t="shared" si="17"/>
        <v>#DIV/0!</v>
      </c>
    </row>
    <row r="26" spans="1:15" ht="15" customHeight="1" x14ac:dyDescent="0.2">
      <c r="A26" s="27"/>
      <c r="B26" s="27"/>
      <c r="C26" s="27"/>
      <c r="D26" s="27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Lisa Rizzo</cp:lastModifiedBy>
  <cp:revision>1025</cp:revision>
  <dcterms:created xsi:type="dcterms:W3CDTF">2024-10-23T15:58:08Z</dcterms:created>
  <dcterms:modified xsi:type="dcterms:W3CDTF">2025-10-14T13:57:39Z</dcterms:modified>
  <dc:language>en-US</dc:language>
</cp:coreProperties>
</file>